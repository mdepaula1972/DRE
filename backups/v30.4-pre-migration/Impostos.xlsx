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cole\Mar Brasil\Financeiro - Documentos\Gestão\Automações\DRE-V18 - Visual Gestor\"/>
    </mc:Choice>
  </mc:AlternateContent>
  <xr:revisionPtr revIDLastSave="0" documentId="8_{DFFC5F9C-4971-4627-99AF-24EAC8105563}" xr6:coauthVersionLast="47" xr6:coauthVersionMax="47" xr10:uidLastSave="{00000000-0000-0000-0000-000000000000}"/>
  <bookViews>
    <workbookView xWindow="-108" yWindow="-108" windowWidth="23256" windowHeight="12456" xr2:uid="{FFA3DF37-F36D-40CB-B028-633310EC2649}"/>
  </bookViews>
  <sheets>
    <sheet name="OUT - NOV - DE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1" l="1"/>
  <c r="P37" i="1"/>
  <c r="J37" i="1"/>
  <c r="I37" i="1"/>
  <c r="H37" i="1"/>
  <c r="F37" i="1"/>
  <c r="E37" i="1"/>
  <c r="P36" i="1"/>
  <c r="J36" i="1"/>
  <c r="I36" i="1"/>
  <c r="H36" i="1"/>
  <c r="F36" i="1"/>
  <c r="E36" i="1"/>
  <c r="P35" i="1"/>
  <c r="H35" i="1"/>
  <c r="F35" i="1"/>
  <c r="E35" i="1"/>
  <c r="P34" i="1"/>
  <c r="H34" i="1"/>
  <c r="F34" i="1"/>
  <c r="E34" i="1"/>
  <c r="P33" i="1"/>
  <c r="J33" i="1"/>
  <c r="I33" i="1"/>
  <c r="H33" i="1"/>
  <c r="F33" i="1"/>
  <c r="E33" i="1"/>
  <c r="P32" i="1"/>
  <c r="J32" i="1"/>
  <c r="I32" i="1"/>
  <c r="H32" i="1"/>
  <c r="F32" i="1"/>
  <c r="E32" i="1"/>
  <c r="D31" i="1"/>
  <c r="D38" i="1" s="1"/>
  <c r="P30" i="1"/>
  <c r="J30" i="1"/>
  <c r="J38" i="1" s="1"/>
  <c r="I30" i="1"/>
  <c r="H30" i="1"/>
  <c r="F30" i="1"/>
  <c r="E30" i="1"/>
  <c r="P24" i="1"/>
  <c r="J24" i="1"/>
  <c r="I24" i="1"/>
  <c r="H24" i="1"/>
  <c r="F24" i="1"/>
  <c r="E24" i="1"/>
  <c r="P23" i="1"/>
  <c r="I23" i="1"/>
  <c r="H23" i="1"/>
  <c r="F23" i="1"/>
  <c r="E23" i="1"/>
  <c r="P22" i="1"/>
  <c r="J22" i="1"/>
  <c r="I22" i="1"/>
  <c r="H22" i="1"/>
  <c r="F22" i="1"/>
  <c r="E22" i="1"/>
  <c r="P21" i="1"/>
  <c r="J21" i="1"/>
  <c r="I21" i="1"/>
  <c r="H21" i="1"/>
  <c r="F21" i="1"/>
  <c r="E21" i="1"/>
  <c r="P20" i="1"/>
  <c r="J20" i="1"/>
  <c r="I20" i="1"/>
  <c r="H20" i="1"/>
  <c r="F20" i="1"/>
  <c r="E20" i="1"/>
  <c r="D19" i="1"/>
  <c r="I19" i="1" s="1"/>
  <c r="P18" i="1"/>
  <c r="J18" i="1"/>
  <c r="I18" i="1"/>
  <c r="H18" i="1"/>
  <c r="F18" i="1"/>
  <c r="E18" i="1"/>
  <c r="P12" i="1"/>
  <c r="H12" i="1"/>
  <c r="F12" i="1"/>
  <c r="E12" i="1"/>
  <c r="P11" i="1"/>
  <c r="H11" i="1"/>
  <c r="F11" i="1"/>
  <c r="E11" i="1"/>
  <c r="P10" i="1"/>
  <c r="H10" i="1"/>
  <c r="F10" i="1"/>
  <c r="E10" i="1"/>
  <c r="P9" i="1"/>
  <c r="J9" i="1"/>
  <c r="I9" i="1"/>
  <c r="H9" i="1"/>
  <c r="F9" i="1"/>
  <c r="E9" i="1"/>
  <c r="P8" i="1"/>
  <c r="J8" i="1"/>
  <c r="I8" i="1"/>
  <c r="H8" i="1"/>
  <c r="F8" i="1"/>
  <c r="E8" i="1"/>
  <c r="P7" i="1"/>
  <c r="J7" i="1"/>
  <c r="I7" i="1"/>
  <c r="H7" i="1"/>
  <c r="F7" i="1"/>
  <c r="E7" i="1"/>
  <c r="P6" i="1"/>
  <c r="J6" i="1"/>
  <c r="I6" i="1"/>
  <c r="H6" i="1"/>
  <c r="F6" i="1"/>
  <c r="E6" i="1"/>
  <c r="P5" i="1"/>
  <c r="J5" i="1"/>
  <c r="I5" i="1"/>
  <c r="H5" i="1"/>
  <c r="F5" i="1"/>
  <c r="E5" i="1"/>
  <c r="D4" i="1"/>
  <c r="E4" i="1" s="1"/>
  <c r="P3" i="1"/>
  <c r="J3" i="1"/>
  <c r="I3" i="1"/>
  <c r="H3" i="1"/>
  <c r="F3" i="1"/>
  <c r="E3" i="1"/>
  <c r="I25" i="1" l="1"/>
  <c r="J13" i="1"/>
  <c r="F31" i="1"/>
  <c r="F38" i="1" s="1"/>
  <c r="H19" i="1"/>
  <c r="H25" i="1" s="1"/>
  <c r="P4" i="1"/>
  <c r="P13" i="1" s="1"/>
  <c r="P38" i="1"/>
  <c r="H31" i="1"/>
  <c r="H38" i="1" s="1"/>
  <c r="J25" i="1"/>
  <c r="I31" i="1"/>
  <c r="I38" i="1" s="1"/>
  <c r="E19" i="1"/>
  <c r="E25" i="1" s="1"/>
  <c r="D25" i="1"/>
  <c r="N18" i="1" s="1"/>
  <c r="O18" i="1" s="1"/>
  <c r="Q18" i="1" s="1"/>
  <c r="P31" i="1"/>
  <c r="F19" i="1"/>
  <c r="F25" i="1" s="1"/>
  <c r="D13" i="1"/>
  <c r="D43" i="1" s="1"/>
  <c r="P19" i="1"/>
  <c r="P25" i="1" s="1"/>
  <c r="E31" i="1"/>
  <c r="E38" i="1" s="1"/>
  <c r="F13" i="1"/>
  <c r="K21" i="1"/>
  <c r="L21" i="1" s="1"/>
  <c r="N35" i="1"/>
  <c r="O35" i="1" s="1"/>
  <c r="Q35" i="1" s="1"/>
  <c r="R35" i="1" s="1"/>
  <c r="G35" i="1" s="1"/>
  <c r="K35" i="1" s="1"/>
  <c r="L35" i="1" s="1"/>
  <c r="N32" i="1"/>
  <c r="O32" i="1" s="1"/>
  <c r="Q32" i="1" s="1"/>
  <c r="R32" i="1" s="1"/>
  <c r="G32" i="1" s="1"/>
  <c r="K32" i="1" s="1"/>
  <c r="L32" i="1" s="1"/>
  <c r="S29" i="1"/>
  <c r="N31" i="1"/>
  <c r="O31" i="1" s="1"/>
  <c r="Q31" i="1" s="1"/>
  <c r="R31" i="1" s="1"/>
  <c r="G31" i="1" s="1"/>
  <c r="N30" i="1"/>
  <c r="O30" i="1" s="1"/>
  <c r="Q30" i="1" s="1"/>
  <c r="N37" i="1"/>
  <c r="O37" i="1" s="1"/>
  <c r="Q37" i="1" s="1"/>
  <c r="R37" i="1" s="1"/>
  <c r="G37" i="1" s="1"/>
  <c r="K37" i="1" s="1"/>
  <c r="L37" i="1" s="1"/>
  <c r="N36" i="1"/>
  <c r="O36" i="1" s="1"/>
  <c r="Q36" i="1" s="1"/>
  <c r="R36" i="1" s="1"/>
  <c r="G36" i="1" s="1"/>
  <c r="K36" i="1" s="1"/>
  <c r="L36" i="1" s="1"/>
  <c r="N34" i="1"/>
  <c r="O34" i="1" s="1"/>
  <c r="Q34" i="1" s="1"/>
  <c r="R34" i="1" s="1"/>
  <c r="G34" i="1" s="1"/>
  <c r="K34" i="1" s="1"/>
  <c r="L34" i="1" s="1"/>
  <c r="N33" i="1"/>
  <c r="O33" i="1" s="1"/>
  <c r="Q33" i="1" s="1"/>
  <c r="R33" i="1" s="1"/>
  <c r="G33" i="1" s="1"/>
  <c r="K33" i="1" s="1"/>
  <c r="L33" i="1" s="1"/>
  <c r="F4" i="1"/>
  <c r="N20" i="1"/>
  <c r="O20" i="1" s="1"/>
  <c r="Q20" i="1" s="1"/>
  <c r="R20" i="1" s="1"/>
  <c r="G20" i="1" s="1"/>
  <c r="K20" i="1" s="1"/>
  <c r="L20" i="1" s="1"/>
  <c r="N21" i="1"/>
  <c r="O21" i="1" s="1"/>
  <c r="Q21" i="1" s="1"/>
  <c r="R21" i="1" s="1"/>
  <c r="G21" i="1" s="1"/>
  <c r="H4" i="1"/>
  <c r="H13" i="1" s="1"/>
  <c r="E13" i="1"/>
  <c r="I4" i="1"/>
  <c r="I13" i="1" s="1"/>
  <c r="N24" i="1"/>
  <c r="O24" i="1" s="1"/>
  <c r="Q24" i="1" s="1"/>
  <c r="R24" i="1" s="1"/>
  <c r="G24" i="1" s="1"/>
  <c r="K24" i="1" s="1"/>
  <c r="L24" i="1" s="1"/>
  <c r="N3" i="1"/>
  <c r="O3" i="1" s="1"/>
  <c r="N4" i="1"/>
  <c r="O4" i="1" s="1"/>
  <c r="Q4" i="1" s="1"/>
  <c r="R4" i="1" s="1"/>
  <c r="G4" i="1" s="1"/>
  <c r="K4" i="1" s="1"/>
  <c r="L4" i="1" s="1"/>
  <c r="N8" i="1"/>
  <c r="O8" i="1" s="1"/>
  <c r="Q8" i="1" s="1"/>
  <c r="R8" i="1" s="1"/>
  <c r="G8" i="1" s="1"/>
  <c r="K8" i="1" s="1"/>
  <c r="L8" i="1" s="1"/>
  <c r="P41" i="1" l="1"/>
  <c r="F43" i="1"/>
  <c r="I43" i="1"/>
  <c r="E43" i="1"/>
  <c r="K31" i="1"/>
  <c r="L31" i="1" s="1"/>
  <c r="H43" i="1"/>
  <c r="J43" i="1"/>
  <c r="N10" i="1"/>
  <c r="O10" i="1" s="1"/>
  <c r="Q10" i="1" s="1"/>
  <c r="R10" i="1" s="1"/>
  <c r="G10" i="1" s="1"/>
  <c r="K10" i="1" s="1"/>
  <c r="L10" i="1" s="1"/>
  <c r="N23" i="1"/>
  <c r="O23" i="1" s="1"/>
  <c r="Q23" i="1" s="1"/>
  <c r="R23" i="1" s="1"/>
  <c r="G23" i="1" s="1"/>
  <c r="K23" i="1" s="1"/>
  <c r="L23" i="1" s="1"/>
  <c r="N19" i="1"/>
  <c r="O19" i="1" s="1"/>
  <c r="Q19" i="1" s="1"/>
  <c r="R19" i="1" s="1"/>
  <c r="G19" i="1" s="1"/>
  <c r="K19" i="1" s="1"/>
  <c r="L19" i="1" s="1"/>
  <c r="N9" i="1"/>
  <c r="O9" i="1" s="1"/>
  <c r="Q9" i="1" s="1"/>
  <c r="R9" i="1" s="1"/>
  <c r="G9" i="1" s="1"/>
  <c r="K9" i="1" s="1"/>
  <c r="L9" i="1" s="1"/>
  <c r="N7" i="1"/>
  <c r="O7" i="1" s="1"/>
  <c r="Q7" i="1" s="1"/>
  <c r="R7" i="1" s="1"/>
  <c r="G7" i="1" s="1"/>
  <c r="K7" i="1" s="1"/>
  <c r="L7" i="1" s="1"/>
  <c r="N12" i="1"/>
  <c r="O12" i="1" s="1"/>
  <c r="Q12" i="1" s="1"/>
  <c r="R12" i="1" s="1"/>
  <c r="G12" i="1" s="1"/>
  <c r="K12" i="1" s="1"/>
  <c r="L12" i="1" s="1"/>
  <c r="N5" i="1"/>
  <c r="O5" i="1" s="1"/>
  <c r="Q5" i="1" s="1"/>
  <c r="R5" i="1" s="1"/>
  <c r="G5" i="1" s="1"/>
  <c r="K5" i="1" s="1"/>
  <c r="L5" i="1" s="1"/>
  <c r="N11" i="1"/>
  <c r="O11" i="1" s="1"/>
  <c r="Q11" i="1" s="1"/>
  <c r="R11" i="1" s="1"/>
  <c r="G11" i="1" s="1"/>
  <c r="K11" i="1" s="1"/>
  <c r="L11" i="1" s="1"/>
  <c r="N6" i="1"/>
  <c r="O6" i="1" s="1"/>
  <c r="Q6" i="1" s="1"/>
  <c r="R6" i="1" s="1"/>
  <c r="G6" i="1" s="1"/>
  <c r="K6" i="1" s="1"/>
  <c r="L6" i="1" s="1"/>
  <c r="N22" i="1"/>
  <c r="O22" i="1" s="1"/>
  <c r="R30" i="1"/>
  <c r="Q38" i="1"/>
  <c r="O38" i="1"/>
  <c r="S30" i="1"/>
  <c r="S37" i="1"/>
  <c r="S36" i="1"/>
  <c r="S33" i="1"/>
  <c r="S32" i="1"/>
  <c r="S31" i="1"/>
  <c r="R18" i="1"/>
  <c r="Q3" i="1"/>
  <c r="O25" i="1" l="1"/>
  <c r="Q22" i="1"/>
  <c r="O13" i="1"/>
  <c r="S38" i="1"/>
  <c r="R3" i="1"/>
  <c r="Q13" i="1"/>
  <c r="R38" i="1"/>
  <c r="G30" i="1"/>
  <c r="G18" i="1"/>
  <c r="Q41" i="1" l="1"/>
  <c r="O41" i="1"/>
  <c r="R22" i="1"/>
  <c r="Q25" i="1"/>
  <c r="K18" i="1"/>
  <c r="G38" i="1"/>
  <c r="K30" i="1"/>
  <c r="G3" i="1"/>
  <c r="R13" i="1"/>
  <c r="G22" i="1" l="1"/>
  <c r="R25" i="1"/>
  <c r="R41" i="1" s="1"/>
  <c r="G13" i="1"/>
  <c r="K3" i="1"/>
  <c r="L30" i="1"/>
  <c r="K38" i="1"/>
  <c r="L38" i="1" s="1"/>
  <c r="L18" i="1"/>
  <c r="K22" i="1" l="1"/>
  <c r="G25" i="1"/>
  <c r="G43" i="1" s="1"/>
  <c r="L3" i="1"/>
  <c r="K13" i="1"/>
  <c r="L22" i="1" l="1"/>
  <c r="K25" i="1"/>
  <c r="L25" i="1" s="1"/>
  <c r="L13" i="1"/>
  <c r="L43" i="1" s="1"/>
  <c r="K43" i="1" l="1"/>
</calcChain>
</file>

<file path=xl/sharedStrings.xml><?xml version="1.0" encoding="utf-8"?>
<sst xmlns="http://schemas.openxmlformats.org/spreadsheetml/2006/main" count="112" uniqueCount="48">
  <si>
    <t xml:space="preserve">OUTUBRO </t>
  </si>
  <si>
    <t xml:space="preserve">IRPJ EXCEDENTE </t>
  </si>
  <si>
    <t>CICLO</t>
  </si>
  <si>
    <t>DESCRIÇÃO</t>
  </si>
  <si>
    <t>Número NF</t>
  </si>
  <si>
    <t>VALOR FATURADO</t>
  </si>
  <si>
    <t>PIS</t>
  </si>
  <si>
    <t>COFINS</t>
  </si>
  <si>
    <t>IRPJ</t>
  </si>
  <si>
    <t>CSLL</t>
  </si>
  <si>
    <t>ISS</t>
  </si>
  <si>
    <t>IR - RETIDO EM NFS</t>
  </si>
  <si>
    <t>TOTAL POR CICLO</t>
  </si>
  <si>
    <t>%</t>
  </si>
  <si>
    <t>TOTAL</t>
  </si>
  <si>
    <t>Rossi</t>
  </si>
  <si>
    <t xml:space="preserve">Alpha </t>
  </si>
  <si>
    <t>216-219, 221-223</t>
  </si>
  <si>
    <t>Santos</t>
  </si>
  <si>
    <t>Praia Grande</t>
  </si>
  <si>
    <t>Bertioga 1390</t>
  </si>
  <si>
    <t>Camâra SP</t>
  </si>
  <si>
    <t>Oftalmológico</t>
  </si>
  <si>
    <t>MAM</t>
  </si>
  <si>
    <t>NOVEMBRO</t>
  </si>
  <si>
    <t xml:space="preserve">ISS </t>
  </si>
  <si>
    <t>Alpha</t>
  </si>
  <si>
    <t>227-234</t>
  </si>
  <si>
    <t>Bertioga 135</t>
  </si>
  <si>
    <t>Zasso</t>
  </si>
  <si>
    <t>DEZEMBRO</t>
  </si>
  <si>
    <t>Sem Capina</t>
  </si>
  <si>
    <t>Geral</t>
  </si>
  <si>
    <t>243-253</t>
  </si>
  <si>
    <t>255-256</t>
  </si>
  <si>
    <t>Crestani</t>
  </si>
  <si>
    <t>CRSN 6018</t>
  </si>
  <si>
    <t>CONSOLIDADO - VALOR PAGO MENSALMENTE E TRIMESTRALMENTE DE IMPOSTOS</t>
  </si>
  <si>
    <t>TOTAL GERAL</t>
  </si>
  <si>
    <t>PRESTAÇÃO DE SERVIÇO</t>
  </si>
  <si>
    <t>Alíquotas</t>
  </si>
  <si>
    <t>ICMS</t>
  </si>
  <si>
    <t>IRPJ (TRIMESTRAL) C/ADC</t>
  </si>
  <si>
    <t>CSLL (TRIMESTRAL)</t>
  </si>
  <si>
    <t>ISS (SANTOS)</t>
  </si>
  <si>
    <t>ISS (PRAIA GRANDE)</t>
  </si>
  <si>
    <t>IR (SANTOS)</t>
  </si>
  <si>
    <t>IR (PRAIA GRANDE)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</si>
</sst>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4">
    <xf numFmtId="0" fontId="0" fillId="0" borderId="0" xfId="0"/>
    <xf numFmtId="14" fontId="4" fillId="2" borderId="1" xfId="0" applyNumberFormat="1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center"/>
    </xf>
    <xf numFmtId="10" fontId="4" fillId="0" borderId="0" xfId="2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/>
    <xf numFmtId="44" fontId="3" fillId="2" borderId="5" xfId="1" applyFont="1" applyFill="1" applyBorder="1"/>
    <xf numFmtId="0" fontId="3" fillId="3" borderId="5" xfId="0" applyFont="1" applyFill="1" applyBorder="1"/>
    <xf numFmtId="44" fontId="3" fillId="3" borderId="5" xfId="1" applyFont="1" applyFill="1" applyBorder="1"/>
    <xf numFmtId="0" fontId="3" fillId="2" borderId="6" xfId="0" applyFont="1" applyFill="1" applyBorder="1"/>
    <xf numFmtId="10" fontId="3" fillId="0" borderId="0" xfId="2" applyNumberFormat="1" applyFont="1"/>
    <xf numFmtId="0" fontId="3" fillId="0" borderId="4" xfId="0" applyFont="1" applyBorder="1"/>
    <xf numFmtId="44" fontId="3" fillId="0" borderId="5" xfId="1" applyFont="1" applyFill="1" applyBorder="1"/>
    <xf numFmtId="9" fontId="3" fillId="0" borderId="5" xfId="0" applyNumberFormat="1" applyFont="1" applyBorder="1"/>
    <xf numFmtId="0" fontId="3" fillId="0" borderId="5" xfId="0" applyFont="1" applyBorder="1"/>
    <xf numFmtId="0" fontId="3" fillId="0" borderId="6" xfId="0" applyFont="1" applyBorder="1"/>
    <xf numFmtId="17" fontId="0" fillId="0" borderId="7" xfId="0" applyNumberFormat="1" applyBorder="1"/>
    <xf numFmtId="0" fontId="0" fillId="0" borderId="8" xfId="0" applyBorder="1"/>
    <xf numFmtId="44" fontId="3" fillId="0" borderId="8" xfId="1" applyFont="1" applyFill="1" applyBorder="1"/>
    <xf numFmtId="44" fontId="0" fillId="0" borderId="8" xfId="0" applyNumberFormat="1" applyBorder="1"/>
    <xf numFmtId="44" fontId="0" fillId="0" borderId="8" xfId="1" applyFont="1" applyBorder="1"/>
    <xf numFmtId="44" fontId="3" fillId="2" borderId="8" xfId="0" applyNumberFormat="1" applyFont="1" applyFill="1" applyBorder="1"/>
    <xf numFmtId="10" fontId="3" fillId="0" borderId="9" xfId="2" applyNumberFormat="1" applyFont="1" applyBorder="1"/>
    <xf numFmtId="10" fontId="0" fillId="0" borderId="0" xfId="2" applyNumberFormat="1" applyFont="1"/>
    <xf numFmtId="10" fontId="3" fillId="0" borderId="7" xfId="2" applyNumberFormat="1" applyFont="1" applyBorder="1"/>
    <xf numFmtId="44" fontId="0" fillId="0" borderId="9" xfId="0" applyNumberFormat="1" applyBorder="1"/>
    <xf numFmtId="0" fontId="0" fillId="0" borderId="10" xfId="0" applyBorder="1"/>
    <xf numFmtId="17" fontId="2" fillId="0" borderId="7" xfId="0" applyNumberFormat="1" applyFont="1" applyBorder="1"/>
    <xf numFmtId="0" fontId="0" fillId="0" borderId="11" xfId="0" applyBorder="1"/>
    <xf numFmtId="44" fontId="3" fillId="0" borderId="12" xfId="1" applyFont="1" applyFill="1" applyBorder="1"/>
    <xf numFmtId="10" fontId="2" fillId="0" borderId="0" xfId="2" applyNumberFormat="1" applyFont="1"/>
    <xf numFmtId="17" fontId="2" fillId="0" borderId="13" xfId="0" applyNumberFormat="1" applyFont="1" applyBorder="1"/>
    <xf numFmtId="0" fontId="0" fillId="0" borderId="14" xfId="0" applyBorder="1"/>
    <xf numFmtId="0" fontId="3" fillId="2" borderId="1" xfId="0" applyFont="1" applyFill="1" applyBorder="1"/>
    <xf numFmtId="0" fontId="3" fillId="2" borderId="15" xfId="0" applyFont="1" applyFill="1" applyBorder="1"/>
    <xf numFmtId="44" fontId="3" fillId="2" borderId="16" xfId="1" applyFont="1" applyFill="1" applyBorder="1"/>
    <xf numFmtId="44" fontId="3" fillId="2" borderId="17" xfId="1" applyFont="1" applyFill="1" applyBorder="1"/>
    <xf numFmtId="10" fontId="3" fillId="2" borderId="18" xfId="2" applyNumberFormat="1" applyFont="1" applyFill="1" applyBorder="1"/>
    <xf numFmtId="9" fontId="3" fillId="2" borderId="19" xfId="2" applyFont="1" applyFill="1" applyBorder="1"/>
    <xf numFmtId="44" fontId="3" fillId="2" borderId="14" xfId="0" applyNumberFormat="1" applyFont="1" applyFill="1" applyBorder="1"/>
    <xf numFmtId="44" fontId="0" fillId="0" borderId="0" xfId="0" applyNumberFormat="1"/>
    <xf numFmtId="44" fontId="0" fillId="0" borderId="0" xfId="1" applyFont="1" applyFill="1" applyBorder="1"/>
    <xf numFmtId="9" fontId="0" fillId="0" borderId="0" xfId="2" applyFont="1" applyFill="1" applyBorder="1"/>
    <xf numFmtId="44" fontId="0" fillId="0" borderId="0" xfId="2" applyNumberFormat="1" applyFont="1" applyFill="1" applyBorder="1"/>
    <xf numFmtId="9" fontId="0" fillId="0" borderId="0" xfId="2" applyFont="1"/>
    <xf numFmtId="44" fontId="0" fillId="0" borderId="0" xfId="2" applyNumberFormat="1" applyFont="1"/>
    <xf numFmtId="9" fontId="3" fillId="0" borderId="4" xfId="2" applyFont="1" applyBorder="1"/>
    <xf numFmtId="44" fontId="3" fillId="0" borderId="5" xfId="1" applyFont="1" applyBorder="1"/>
    <xf numFmtId="44" fontId="3" fillId="0" borderId="5" xfId="0" applyNumberFormat="1" applyFont="1" applyBorder="1"/>
    <xf numFmtId="44" fontId="3" fillId="0" borderId="6" xfId="0" applyNumberFormat="1" applyFont="1" applyBorder="1"/>
    <xf numFmtId="0" fontId="0" fillId="0" borderId="20" xfId="0" applyBorder="1"/>
    <xf numFmtId="44" fontId="3" fillId="0" borderId="21" xfId="1" applyFont="1" applyFill="1" applyBorder="1"/>
    <xf numFmtId="0" fontId="3" fillId="2" borderId="22" xfId="0" applyFont="1" applyFill="1" applyBorder="1"/>
    <xf numFmtId="0" fontId="3" fillId="2" borderId="23" xfId="0" applyFont="1" applyFill="1" applyBorder="1"/>
    <xf numFmtId="10" fontId="3" fillId="0" borderId="18" xfId="2" applyNumberFormat="1" applyFont="1" applyBorder="1"/>
    <xf numFmtId="44" fontId="3" fillId="2" borderId="24" xfId="0" applyNumberFormat="1" applyFont="1" applyFill="1" applyBorder="1"/>
    <xf numFmtId="0" fontId="3" fillId="0" borderId="0" xfId="0" applyFont="1"/>
    <xf numFmtId="44" fontId="3" fillId="0" borderId="0" xfId="1" applyFont="1" applyFill="1" applyBorder="1"/>
    <xf numFmtId="9" fontId="3" fillId="0" borderId="0" xfId="2" applyFont="1" applyBorder="1"/>
    <xf numFmtId="9" fontId="3" fillId="0" borderId="0" xfId="2" applyFont="1" applyFill="1" applyBorder="1"/>
    <xf numFmtId="44" fontId="3" fillId="0" borderId="0" xfId="0" applyNumberFormat="1" applyFont="1"/>
    <xf numFmtId="44" fontId="0" fillId="0" borderId="0" xfId="1" applyFont="1" applyBorder="1"/>
    <xf numFmtId="44" fontId="3" fillId="0" borderId="25" xfId="1" applyFont="1" applyFill="1" applyBorder="1"/>
    <xf numFmtId="0" fontId="3" fillId="2" borderId="17" xfId="0" applyFont="1" applyFill="1" applyBorder="1"/>
    <xf numFmtId="10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9" xfId="0" applyFont="1" applyBorder="1"/>
    <xf numFmtId="44" fontId="0" fillId="0" borderId="14" xfId="0" applyNumberFormat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8" xfId="0" applyFont="1" applyFill="1" applyBorder="1"/>
    <xf numFmtId="44" fontId="3" fillId="2" borderId="29" xfId="1" applyFont="1" applyFill="1" applyBorder="1"/>
    <xf numFmtId="44" fontId="0" fillId="0" borderId="0" xfId="1" applyFont="1"/>
    <xf numFmtId="0" fontId="0" fillId="0" borderId="8" xfId="0" applyBorder="1" applyAlignment="1">
      <alignment horizontal="center"/>
    </xf>
    <xf numFmtId="10" fontId="0" fillId="0" borderId="8" xfId="2" applyNumberFormat="1" applyFont="1" applyBorder="1"/>
    <xf numFmtId="0" fontId="0" fillId="4" borderId="8" xfId="0" applyFill="1" applyBorder="1"/>
    <xf numFmtId="10" fontId="0" fillId="4" borderId="8" xfId="2" applyNumberFormat="1" applyFont="1" applyFill="1" applyBorder="1"/>
    <xf numFmtId="10" fontId="0" fillId="0" borderId="8" xfId="2" applyNumberFormat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EC27-4E24-44B7-9963-F3FDF4F0DA96}">
  <dimension ref="A1:T56"/>
  <sheetViews>
    <sheetView tabSelected="1" topLeftCell="A34" workbookViewId="0">
      <selection activeCell="A41" sqref="A41:XFD41"/>
    </sheetView>
  </sheetViews>
  <sheetFormatPr defaultRowHeight="14.4" x14ac:dyDescent="0.3"/>
  <cols>
    <col min="1" max="1" width="13.33203125" bestFit="1" customWidth="1"/>
    <col min="2" max="2" width="21.6640625" bestFit="1" customWidth="1"/>
    <col min="3" max="3" width="12.44140625" customWidth="1"/>
    <col min="4" max="4" width="17.44140625" style="78" bestFit="1" customWidth="1"/>
    <col min="5" max="5" width="14" bestFit="1" customWidth="1"/>
    <col min="6" max="6" width="15.5546875" style="78" bestFit="1" customWidth="1"/>
    <col min="7" max="7" width="14" bestFit="1" customWidth="1"/>
    <col min="8" max="8" width="15.5546875" bestFit="1" customWidth="1"/>
    <col min="9" max="9" width="13" bestFit="1" customWidth="1"/>
    <col min="10" max="10" width="18.21875" bestFit="1" customWidth="1"/>
    <col min="11" max="11" width="16.6640625" bestFit="1" customWidth="1"/>
    <col min="12" max="12" width="8.33203125" bestFit="1" customWidth="1"/>
    <col min="13" max="13" width="14.44140625" style="27" bestFit="1" customWidth="1"/>
    <col min="14" max="14" width="9.33203125" customWidth="1"/>
    <col min="15" max="15" width="12.88671875" bestFit="1" customWidth="1"/>
    <col min="16" max="16" width="15.5546875" bestFit="1" customWidth="1"/>
    <col min="17" max="17" width="15.5546875" customWidth="1"/>
    <col min="18" max="19" width="14" bestFit="1" customWidth="1"/>
  </cols>
  <sheetData>
    <row r="1" spans="1:18" ht="16.2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 t="s">
        <v>1</v>
      </c>
      <c r="O1" s="6"/>
      <c r="P1" s="6"/>
      <c r="Q1" s="6"/>
      <c r="R1" s="7"/>
    </row>
    <row r="2" spans="1:18" x14ac:dyDescent="0.3">
      <c r="A2" s="8" t="s">
        <v>2</v>
      </c>
      <c r="B2" s="9" t="s">
        <v>3</v>
      </c>
      <c r="C2" s="9" t="s">
        <v>4</v>
      </c>
      <c r="D2" s="10" t="s">
        <v>5</v>
      </c>
      <c r="E2" s="11" t="s">
        <v>6</v>
      </c>
      <c r="F2" s="12" t="s">
        <v>7</v>
      </c>
      <c r="G2" s="9" t="s">
        <v>8</v>
      </c>
      <c r="H2" s="10" t="s">
        <v>9</v>
      </c>
      <c r="I2" s="11" t="s">
        <v>10</v>
      </c>
      <c r="J2" s="11" t="s">
        <v>11</v>
      </c>
      <c r="K2" s="9" t="s">
        <v>12</v>
      </c>
      <c r="L2" s="13" t="s">
        <v>13</v>
      </c>
      <c r="M2" s="14"/>
      <c r="N2" s="15"/>
      <c r="O2" s="16">
        <v>20000</v>
      </c>
      <c r="P2" s="17">
        <v>0.32</v>
      </c>
      <c r="Q2" s="18"/>
      <c r="R2" s="19" t="s">
        <v>14</v>
      </c>
    </row>
    <row r="3" spans="1:18" x14ac:dyDescent="0.3">
      <c r="A3" s="20">
        <v>45901</v>
      </c>
      <c r="B3" s="21" t="s">
        <v>15</v>
      </c>
      <c r="C3" s="21">
        <v>215</v>
      </c>
      <c r="D3" s="22">
        <v>849.65</v>
      </c>
      <c r="E3" s="23">
        <f>D3*D$49</f>
        <v>5.5227249999999994</v>
      </c>
      <c r="F3" s="24">
        <f>D3*D$50</f>
        <v>25.4895</v>
      </c>
      <c r="G3" s="23">
        <f t="shared" ref="G3:G12" si="0">(((D3*32%)*15%)+R3)-J3</f>
        <v>24.575817331103828</v>
      </c>
      <c r="H3" s="23">
        <f t="shared" ref="H3:H12" si="1">(D3*32%)*9%</f>
        <v>24.469919999999998</v>
      </c>
      <c r="I3" s="23">
        <f>D3*3%</f>
        <v>25.4895</v>
      </c>
      <c r="J3" s="23">
        <f t="shared" ref="J3:J9" si="2">D3*4.8%</f>
        <v>40.783200000000001</v>
      </c>
      <c r="K3" s="25">
        <f t="shared" ref="K3:K12" si="3">SUM(E3:J3)</f>
        <v>146.33066233110381</v>
      </c>
      <c r="L3" s="26">
        <f t="shared" ref="L3:L13" si="4">K3/D3</f>
        <v>0.17222463641629354</v>
      </c>
      <c r="N3" s="28">
        <f t="shared" ref="N3:N8" si="5">D3/D$13</f>
        <v>1.3064913344480809E-3</v>
      </c>
      <c r="O3" s="23">
        <f>O$2*N3</f>
        <v>26.129826688961618</v>
      </c>
      <c r="P3" s="23">
        <f t="shared" ref="P3:P12" si="6">D3*32%</f>
        <v>271.88799999999998</v>
      </c>
      <c r="Q3" s="23">
        <f>P3-O3</f>
        <v>245.75817331103835</v>
      </c>
      <c r="R3" s="29">
        <f>Q3*10%</f>
        <v>24.575817331103835</v>
      </c>
    </row>
    <row r="4" spans="1:18" x14ac:dyDescent="0.3">
      <c r="A4" s="20">
        <v>45901</v>
      </c>
      <c r="B4" s="21" t="s">
        <v>16</v>
      </c>
      <c r="C4" s="21" t="s">
        <v>17</v>
      </c>
      <c r="D4" s="22">
        <f>404.23*7</f>
        <v>2829.61</v>
      </c>
      <c r="E4" s="23">
        <f>D4*D$49</f>
        <v>18.392465000000001</v>
      </c>
      <c r="F4" s="24">
        <f>D4*D$50</f>
        <v>84.888300000000001</v>
      </c>
      <c r="G4" s="23">
        <f t="shared" si="0"/>
        <v>217.6667204499085</v>
      </c>
      <c r="H4" s="23">
        <f t="shared" si="1"/>
        <v>81.492767999999998</v>
      </c>
      <c r="I4" s="23">
        <f t="shared" ref="I4:I6" si="7">D4*3%</f>
        <v>84.888300000000001</v>
      </c>
      <c r="J4" s="23"/>
      <c r="K4" s="25">
        <f t="shared" si="3"/>
        <v>487.32855344990855</v>
      </c>
      <c r="L4" s="26">
        <f t="shared" si="4"/>
        <v>0.1722246364162936</v>
      </c>
      <c r="N4" s="28">
        <f t="shared" si="5"/>
        <v>4.3510397750457655E-3</v>
      </c>
      <c r="O4" s="23">
        <f t="shared" ref="O4:O12" si="8">O$2*N4</f>
        <v>87.020795500915312</v>
      </c>
      <c r="P4" s="23">
        <f t="shared" si="6"/>
        <v>905.47520000000009</v>
      </c>
      <c r="Q4" s="23">
        <f t="shared" ref="Q4:Q12" si="9">P4-O4</f>
        <v>818.45440449908483</v>
      </c>
      <c r="R4" s="29">
        <f t="shared" ref="R4:R12" si="10">Q4*10%</f>
        <v>81.845440449908494</v>
      </c>
    </row>
    <row r="5" spans="1:18" x14ac:dyDescent="0.3">
      <c r="A5" s="20">
        <v>45901</v>
      </c>
      <c r="B5" s="21" t="s">
        <v>18</v>
      </c>
      <c r="C5" s="21">
        <v>214</v>
      </c>
      <c r="D5" s="22">
        <v>460899.42</v>
      </c>
      <c r="E5" s="23">
        <f>D5*D$49</f>
        <v>2995.8462299999997</v>
      </c>
      <c r="F5" s="24">
        <f>D5*D$50</f>
        <v>13826.982599999999</v>
      </c>
      <c r="G5" s="23">
        <f t="shared" si="0"/>
        <v>13331.348147980589</v>
      </c>
      <c r="H5" s="23">
        <f t="shared" si="1"/>
        <v>13273.903296</v>
      </c>
      <c r="I5" s="23">
        <f t="shared" si="7"/>
        <v>13826.982599999999</v>
      </c>
      <c r="J5" s="23">
        <f t="shared" si="2"/>
        <v>22123.172159999998</v>
      </c>
      <c r="K5" s="25">
        <f t="shared" si="3"/>
        <v>79378.235033980585</v>
      </c>
      <c r="L5" s="26">
        <f t="shared" si="4"/>
        <v>0.17222463641629357</v>
      </c>
      <c r="N5" s="28">
        <f t="shared" si="5"/>
        <v>0.70871664600970574</v>
      </c>
      <c r="O5" s="23">
        <f t="shared" si="8"/>
        <v>14174.332920194114</v>
      </c>
      <c r="P5" s="23">
        <f t="shared" si="6"/>
        <v>147487.8144</v>
      </c>
      <c r="Q5" s="23">
        <f t="shared" si="9"/>
        <v>133313.48147980589</v>
      </c>
      <c r="R5" s="29">
        <f t="shared" si="10"/>
        <v>13331.348147980591</v>
      </c>
    </row>
    <row r="6" spans="1:18" x14ac:dyDescent="0.3">
      <c r="A6" s="20">
        <v>45901</v>
      </c>
      <c r="B6" s="30" t="s">
        <v>19</v>
      </c>
      <c r="C6" s="30">
        <v>213</v>
      </c>
      <c r="D6" s="22">
        <v>3000</v>
      </c>
      <c r="E6" s="23">
        <f>D6*D$49</f>
        <v>19.5</v>
      </c>
      <c r="F6" s="24">
        <f>D6*D$50</f>
        <v>90</v>
      </c>
      <c r="G6" s="23">
        <f t="shared" si="0"/>
        <v>86.773909248880727</v>
      </c>
      <c r="H6" s="23">
        <f t="shared" si="1"/>
        <v>86.399999999999991</v>
      </c>
      <c r="I6" s="23">
        <f t="shared" si="7"/>
        <v>90</v>
      </c>
      <c r="J6" s="23">
        <f t="shared" si="2"/>
        <v>144</v>
      </c>
      <c r="K6" s="25">
        <f t="shared" ref="K6" si="11">SUM(E6:J6)</f>
        <v>516.6739092488807</v>
      </c>
      <c r="L6" s="26">
        <f t="shared" si="4"/>
        <v>0.17222463641629357</v>
      </c>
      <c r="N6" s="28">
        <f t="shared" si="5"/>
        <v>4.6130453755596334E-3</v>
      </c>
      <c r="O6" s="23">
        <f t="shared" si="8"/>
        <v>92.26090751119267</v>
      </c>
      <c r="P6" s="23">
        <f t="shared" si="6"/>
        <v>960</v>
      </c>
      <c r="Q6" s="23">
        <f t="shared" si="9"/>
        <v>867.73909248880727</v>
      </c>
      <c r="R6" s="29">
        <f t="shared" si="10"/>
        <v>86.773909248880727</v>
      </c>
    </row>
    <row r="7" spans="1:18" x14ac:dyDescent="0.3">
      <c r="A7" s="20">
        <v>45901</v>
      </c>
      <c r="B7" s="21" t="s">
        <v>20</v>
      </c>
      <c r="C7" s="21">
        <v>220</v>
      </c>
      <c r="D7" s="22">
        <v>31583.33</v>
      </c>
      <c r="E7" s="23">
        <f>D7*D$49</f>
        <v>205.29164499999999</v>
      </c>
      <c r="F7" s="24">
        <f>D7*D$50</f>
        <v>947.49990000000003</v>
      </c>
      <c r="G7" s="23">
        <f t="shared" si="0"/>
        <v>913.53633706581718</v>
      </c>
      <c r="H7" s="23">
        <f t="shared" si="1"/>
        <v>909.59990400000004</v>
      </c>
      <c r="I7" s="23">
        <f>D7*2%</f>
        <v>631.66660000000002</v>
      </c>
      <c r="J7" s="23">
        <f t="shared" si="2"/>
        <v>1515.9998400000002</v>
      </c>
      <c r="K7" s="25">
        <f t="shared" si="3"/>
        <v>5123.5942260658176</v>
      </c>
      <c r="L7" s="26">
        <f t="shared" si="4"/>
        <v>0.16222463641629356</v>
      </c>
      <c r="N7" s="28">
        <f t="shared" si="5"/>
        <v>4.8565111467091283E-2</v>
      </c>
      <c r="O7" s="23">
        <f t="shared" si="8"/>
        <v>971.30222934182564</v>
      </c>
      <c r="P7" s="23">
        <f t="shared" si="6"/>
        <v>10106.6656</v>
      </c>
      <c r="Q7" s="23">
        <f t="shared" si="9"/>
        <v>9135.363370658175</v>
      </c>
      <c r="R7" s="29">
        <f t="shared" si="10"/>
        <v>913.53633706581752</v>
      </c>
    </row>
    <row r="8" spans="1:18" x14ac:dyDescent="0.3">
      <c r="A8" s="20">
        <v>45901</v>
      </c>
      <c r="B8" s="21" t="s">
        <v>21</v>
      </c>
      <c r="C8" s="21">
        <v>225</v>
      </c>
      <c r="D8" s="22">
        <v>50206.66</v>
      </c>
      <c r="E8" s="23">
        <f>D8*D$49</f>
        <v>326.34329000000002</v>
      </c>
      <c r="F8" s="24">
        <f>D8*D$50</f>
        <v>1506.1998000000001</v>
      </c>
      <c r="G8" s="23">
        <f t="shared" si="0"/>
        <v>1452.2093861764702</v>
      </c>
      <c r="H8" s="23">
        <f t="shared" si="1"/>
        <v>1445.951808</v>
      </c>
      <c r="I8" s="23">
        <f>D8*3%</f>
        <v>1506.1998000000001</v>
      </c>
      <c r="J8" s="23">
        <f t="shared" si="2"/>
        <v>2409.9196800000004</v>
      </c>
      <c r="K8" s="25">
        <f t="shared" si="3"/>
        <v>8646.8237641764717</v>
      </c>
      <c r="L8" s="26">
        <f t="shared" si="4"/>
        <v>0.1722246364162936</v>
      </c>
      <c r="N8" s="28">
        <f t="shared" si="5"/>
        <v>7.7201866911764949E-2</v>
      </c>
      <c r="O8" s="23">
        <f t="shared" si="8"/>
        <v>1544.0373382352989</v>
      </c>
      <c r="P8" s="23">
        <f t="shared" si="6"/>
        <v>16066.131200000002</v>
      </c>
      <c r="Q8" s="23">
        <f t="shared" si="9"/>
        <v>14522.093861764703</v>
      </c>
      <c r="R8" s="29">
        <f t="shared" si="10"/>
        <v>1452.2093861764704</v>
      </c>
    </row>
    <row r="9" spans="1:18" x14ac:dyDescent="0.3">
      <c r="A9" s="20">
        <v>45901</v>
      </c>
      <c r="B9" s="30" t="s">
        <v>19</v>
      </c>
      <c r="C9" s="21">
        <v>224</v>
      </c>
      <c r="D9" s="22">
        <v>29057.96</v>
      </c>
      <c r="E9" s="23">
        <f>D9*D$49</f>
        <v>188.87673999999998</v>
      </c>
      <c r="F9" s="24">
        <f>D9*D$50</f>
        <v>871.73879999999997</v>
      </c>
      <c r="G9" s="23">
        <f t="shared" si="0"/>
        <v>840.49092799920163</v>
      </c>
      <c r="H9" s="23">
        <f t="shared" si="1"/>
        <v>836.86924799999986</v>
      </c>
      <c r="I9" s="23">
        <f>D9*3%</f>
        <v>871.73879999999997</v>
      </c>
      <c r="J9" s="23">
        <f t="shared" si="2"/>
        <v>1394.78208</v>
      </c>
      <c r="K9" s="25">
        <f t="shared" si="3"/>
        <v>5004.4965959992014</v>
      </c>
      <c r="L9" s="26">
        <f t="shared" si="4"/>
        <v>0.17222463641629357</v>
      </c>
      <c r="N9" s="28">
        <f>D9/D$13</f>
        <v>4.4681896000398937E-2</v>
      </c>
      <c r="O9" s="23">
        <f t="shared" si="8"/>
        <v>893.63792000797878</v>
      </c>
      <c r="P9" s="23">
        <f t="shared" si="6"/>
        <v>9298.5471999999991</v>
      </c>
      <c r="Q9" s="23">
        <f t="shared" si="9"/>
        <v>8404.9092799920199</v>
      </c>
      <c r="R9" s="29">
        <f t="shared" si="10"/>
        <v>840.49092799920209</v>
      </c>
    </row>
    <row r="10" spans="1:18" x14ac:dyDescent="0.3">
      <c r="A10" s="31">
        <v>45931</v>
      </c>
      <c r="B10" s="32" t="s">
        <v>22</v>
      </c>
      <c r="C10" s="21">
        <v>1021</v>
      </c>
      <c r="D10" s="33">
        <v>32732.98</v>
      </c>
      <c r="E10" s="23">
        <f>D10*D$49</f>
        <v>212.76436999999999</v>
      </c>
      <c r="F10" s="24">
        <f>D10*D$50</f>
        <v>981.98939999999993</v>
      </c>
      <c r="G10" s="23">
        <f t="shared" si="0"/>
        <v>2517.9725853218092</v>
      </c>
      <c r="H10" s="23">
        <f t="shared" si="1"/>
        <v>942.70982399999991</v>
      </c>
      <c r="I10" s="23">
        <v>0</v>
      </c>
      <c r="J10" s="23">
        <v>0</v>
      </c>
      <c r="K10" s="25">
        <f t="shared" si="3"/>
        <v>4655.4361793218086</v>
      </c>
      <c r="L10" s="26">
        <f t="shared" si="4"/>
        <v>0.14222463641629354</v>
      </c>
      <c r="M10" s="34"/>
      <c r="N10" s="28">
        <f>D10/D$13</f>
        <v>5.0332907339095324E-2</v>
      </c>
      <c r="O10" s="23">
        <f t="shared" si="8"/>
        <v>1006.6581467819065</v>
      </c>
      <c r="P10" s="23">
        <f t="shared" si="6"/>
        <v>10474.553599999999</v>
      </c>
      <c r="Q10" s="23">
        <f t="shared" si="9"/>
        <v>9467.8954532180924</v>
      </c>
      <c r="R10" s="29">
        <f t="shared" si="10"/>
        <v>946.78954532180933</v>
      </c>
    </row>
    <row r="11" spans="1:18" x14ac:dyDescent="0.3">
      <c r="A11" s="31">
        <v>45931</v>
      </c>
      <c r="B11" s="30" t="s">
        <v>23</v>
      </c>
      <c r="C11" s="21">
        <v>1022</v>
      </c>
      <c r="D11" s="22">
        <v>12725</v>
      </c>
      <c r="E11" s="23">
        <f>D11*D$49</f>
        <v>82.712499999999991</v>
      </c>
      <c r="F11" s="24">
        <f>D11*D$50</f>
        <v>381.75</v>
      </c>
      <c r="G11" s="23">
        <f t="shared" si="0"/>
        <v>978.86599839733572</v>
      </c>
      <c r="H11" s="23">
        <f t="shared" si="1"/>
        <v>366.47999999999996</v>
      </c>
      <c r="I11" s="23">
        <v>0</v>
      </c>
      <c r="J11" s="23">
        <v>0</v>
      </c>
      <c r="K11" s="25">
        <f t="shared" si="3"/>
        <v>1809.8084983973358</v>
      </c>
      <c r="L11" s="26">
        <f t="shared" si="4"/>
        <v>0.14222463641629357</v>
      </c>
      <c r="M11" s="34"/>
      <c r="N11" s="28">
        <f>D11/D$13</f>
        <v>1.9567000801332113E-2</v>
      </c>
      <c r="O11" s="23">
        <f t="shared" si="8"/>
        <v>391.34001602664227</v>
      </c>
      <c r="P11" s="23">
        <f t="shared" si="6"/>
        <v>4072</v>
      </c>
      <c r="Q11" s="23">
        <f t="shared" si="9"/>
        <v>3680.6599839733576</v>
      </c>
      <c r="R11" s="29">
        <f t="shared" si="10"/>
        <v>368.06599839733576</v>
      </c>
    </row>
    <row r="12" spans="1:18" ht="15" thickBot="1" x14ac:dyDescent="0.35">
      <c r="A12" s="35">
        <v>45931</v>
      </c>
      <c r="B12" s="36" t="s">
        <v>23</v>
      </c>
      <c r="C12" s="36">
        <v>1020</v>
      </c>
      <c r="D12" s="33">
        <v>26445</v>
      </c>
      <c r="E12" s="23">
        <f>D12*D$49</f>
        <v>171.89249999999998</v>
      </c>
      <c r="F12" s="24">
        <f>D12*D$50</f>
        <v>793.35</v>
      </c>
      <c r="G12" s="23">
        <f t="shared" si="0"/>
        <v>2034.2720100288836</v>
      </c>
      <c r="H12" s="23">
        <f t="shared" si="1"/>
        <v>761.61599999999999</v>
      </c>
      <c r="I12" s="23">
        <v>0</v>
      </c>
      <c r="J12" s="23">
        <v>0</v>
      </c>
      <c r="K12" s="25">
        <f t="shared" si="3"/>
        <v>3761.1305100288837</v>
      </c>
      <c r="L12" s="26">
        <f t="shared" si="4"/>
        <v>0.14222463641629357</v>
      </c>
      <c r="M12" s="34"/>
      <c r="N12" s="28">
        <f>D12/D$13</f>
        <v>4.0663994985558172E-2</v>
      </c>
      <c r="O12" s="23">
        <f t="shared" si="8"/>
        <v>813.27989971116347</v>
      </c>
      <c r="P12" s="23">
        <f t="shared" si="6"/>
        <v>8462.4</v>
      </c>
      <c r="Q12" s="23">
        <f t="shared" si="9"/>
        <v>7649.1201002888365</v>
      </c>
      <c r="R12" s="29">
        <f t="shared" si="10"/>
        <v>764.91201002888374</v>
      </c>
    </row>
    <row r="13" spans="1:18" ht="15" thickBot="1" x14ac:dyDescent="0.35">
      <c r="A13" s="37"/>
      <c r="B13" s="38" t="s">
        <v>14</v>
      </c>
      <c r="C13" s="38"/>
      <c r="D13" s="39">
        <f t="shared" ref="D13:K13" si="12">SUM(D3:D12)</f>
        <v>650329.61</v>
      </c>
      <c r="E13" s="40">
        <f t="shared" si="12"/>
        <v>4227.1424649999999</v>
      </c>
      <c r="F13" s="40">
        <f t="shared" si="12"/>
        <v>19509.888299999995</v>
      </c>
      <c r="G13" s="40">
        <f t="shared" si="12"/>
        <v>22397.71184</v>
      </c>
      <c r="H13" s="40">
        <f t="shared" si="12"/>
        <v>18729.492768000004</v>
      </c>
      <c r="I13" s="40">
        <f t="shared" si="12"/>
        <v>17036.9656</v>
      </c>
      <c r="J13" s="40">
        <f t="shared" si="12"/>
        <v>27628.65696</v>
      </c>
      <c r="K13" s="40">
        <f t="shared" si="12"/>
        <v>109529.85793300001</v>
      </c>
      <c r="L13" s="41">
        <f t="shared" si="4"/>
        <v>0.16842206820784311</v>
      </c>
      <c r="N13" s="42" t="s">
        <v>14</v>
      </c>
      <c r="O13" s="43">
        <f>SUM(O3:O12)</f>
        <v>19999.999999999996</v>
      </c>
      <c r="P13" s="43">
        <f>SUM(P3:P12)</f>
        <v>208105.47520000002</v>
      </c>
      <c r="Q13" s="43">
        <f>SUM(Q3:Q12)</f>
        <v>188105.47520000002</v>
      </c>
      <c r="R13" s="43">
        <f>SUM(R3:R12)</f>
        <v>18810.54752</v>
      </c>
    </row>
    <row r="14" spans="1:18" x14ac:dyDescent="0.3">
      <c r="B14" s="44"/>
      <c r="C14" s="44"/>
      <c r="D14" s="45"/>
      <c r="E14" s="45"/>
      <c r="F14" s="45"/>
      <c r="G14" s="45"/>
      <c r="H14" s="45"/>
      <c r="I14" s="45"/>
      <c r="J14" s="46"/>
      <c r="K14" s="47"/>
      <c r="L14" s="46"/>
      <c r="N14" s="48"/>
      <c r="P14" s="44"/>
      <c r="Q14" s="44"/>
      <c r="R14" s="44"/>
    </row>
    <row r="15" spans="1:18" ht="15" thickBot="1" x14ac:dyDescent="0.35">
      <c r="B15" s="44"/>
      <c r="C15" s="44"/>
      <c r="D15" s="45"/>
      <c r="E15" s="45"/>
      <c r="F15" s="45"/>
      <c r="G15" s="45"/>
      <c r="H15" s="45"/>
      <c r="I15" s="45"/>
      <c r="J15" s="46"/>
      <c r="K15" s="47"/>
      <c r="L15" s="46"/>
      <c r="N15" s="48"/>
      <c r="P15" s="44"/>
      <c r="Q15" s="44"/>
      <c r="R15" s="44"/>
    </row>
    <row r="16" spans="1:18" ht="16.2" thickBot="1" x14ac:dyDescent="0.35">
      <c r="A16" s="1" t="s">
        <v>24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N16" s="48"/>
      <c r="P16" s="44"/>
      <c r="Q16" s="44"/>
      <c r="R16" s="44"/>
    </row>
    <row r="17" spans="1:20" x14ac:dyDescent="0.3">
      <c r="A17" s="8" t="s">
        <v>2</v>
      </c>
      <c r="B17" s="9" t="s">
        <v>3</v>
      </c>
      <c r="C17" s="9" t="s">
        <v>4</v>
      </c>
      <c r="D17" s="10" t="s">
        <v>5</v>
      </c>
      <c r="E17" s="11" t="s">
        <v>6</v>
      </c>
      <c r="F17" s="12" t="s">
        <v>7</v>
      </c>
      <c r="G17" s="9" t="s">
        <v>8</v>
      </c>
      <c r="H17" s="10" t="s">
        <v>9</v>
      </c>
      <c r="I17" s="11" t="s">
        <v>25</v>
      </c>
      <c r="J17" s="11" t="s">
        <v>11</v>
      </c>
      <c r="K17" s="9" t="s">
        <v>12</v>
      </c>
      <c r="L17" s="13" t="s">
        <v>13</v>
      </c>
      <c r="M17" s="49"/>
      <c r="N17" s="50"/>
      <c r="O17" s="51">
        <v>20000</v>
      </c>
      <c r="P17" s="17">
        <v>0.32</v>
      </c>
      <c r="Q17" s="52"/>
      <c r="R17" s="53" t="s">
        <v>14</v>
      </c>
    </row>
    <row r="18" spans="1:20" x14ac:dyDescent="0.3">
      <c r="A18" s="20">
        <v>45931</v>
      </c>
      <c r="B18" s="21" t="s">
        <v>15</v>
      </c>
      <c r="C18" s="21">
        <v>235</v>
      </c>
      <c r="D18" s="22">
        <v>849.65</v>
      </c>
      <c r="E18" s="23">
        <f>D18*D49</f>
        <v>5.5227249999999994</v>
      </c>
      <c r="F18" s="24">
        <f>D18*D50</f>
        <v>25.4895</v>
      </c>
      <c r="G18" s="23">
        <f t="shared" ref="G18:G24" si="13">(((D18*32%)*15%)+R18)-J18</f>
        <v>24.844013955965615</v>
      </c>
      <c r="H18" s="23">
        <f>(D18*32%)*9%</f>
        <v>24.469919999999998</v>
      </c>
      <c r="I18" s="23">
        <f>D18*3%</f>
        <v>25.4895</v>
      </c>
      <c r="J18" s="23">
        <f t="shared" ref="J18:J24" si="14">D18*4.8%</f>
        <v>40.783200000000001</v>
      </c>
      <c r="K18" s="25">
        <f t="shared" ref="K18:K24" si="15">SUM(E18:J18)</f>
        <v>146.5988589559656</v>
      </c>
      <c r="L18" s="26">
        <f t="shared" ref="L18:L25" si="16">K18/D18</f>
        <v>0.17254029183306727</v>
      </c>
      <c r="M18" s="34"/>
      <c r="N18" s="28">
        <f t="shared" ref="N18:N24" si="17">D18/D$25</f>
        <v>1.1723930220171863E-3</v>
      </c>
      <c r="O18" s="23">
        <f t="shared" ref="O18:O24" si="18">O$17*N18</f>
        <v>23.447860440343728</v>
      </c>
      <c r="P18" s="23">
        <f t="shared" ref="P18:P24" si="19">D18*32%</f>
        <v>271.88799999999998</v>
      </c>
      <c r="Q18" s="23">
        <f>P18-O18</f>
        <v>248.44013955965625</v>
      </c>
      <c r="R18" s="29">
        <f>Q18*10%</f>
        <v>24.844013955965625</v>
      </c>
    </row>
    <row r="19" spans="1:20" x14ac:dyDescent="0.3">
      <c r="A19" s="20">
        <v>45931</v>
      </c>
      <c r="B19" s="21" t="s">
        <v>26</v>
      </c>
      <c r="C19" s="21" t="s">
        <v>27</v>
      </c>
      <c r="D19" s="22">
        <f>404.23*8</f>
        <v>3233.84</v>
      </c>
      <c r="E19" s="23">
        <f>D19*D49</f>
        <v>21.019960000000001</v>
      </c>
      <c r="F19" s="24">
        <f>D19*D50</f>
        <v>97.015200000000007</v>
      </c>
      <c r="G19" s="23">
        <f t="shared" si="13"/>
        <v>249.78274534144634</v>
      </c>
      <c r="H19" s="23">
        <f t="shared" ref="H19:H24" si="20">(D19*32%)*9%</f>
        <v>93.134591999999998</v>
      </c>
      <c r="I19" s="23">
        <f>D19*3%</f>
        <v>97.015200000000007</v>
      </c>
      <c r="J19" s="23"/>
      <c r="K19" s="25">
        <f t="shared" si="15"/>
        <v>557.96769734144641</v>
      </c>
      <c r="L19" s="26">
        <f t="shared" si="16"/>
        <v>0.17254029183306732</v>
      </c>
      <c r="M19" s="34"/>
      <c r="N19" s="28">
        <f t="shared" si="17"/>
        <v>4.4622273292768298E-3</v>
      </c>
      <c r="O19" s="23">
        <f t="shared" si="18"/>
        <v>89.244546585536597</v>
      </c>
      <c r="P19" s="23">
        <f t="shared" si="19"/>
        <v>1034.8288</v>
      </c>
      <c r="Q19" s="23">
        <f t="shared" ref="Q19:Q24" si="21">P19-O19</f>
        <v>945.58425341446343</v>
      </c>
      <c r="R19" s="29">
        <f t="shared" ref="R19:R24" si="22">Q19*10%</f>
        <v>94.558425341446352</v>
      </c>
    </row>
    <row r="20" spans="1:20" x14ac:dyDescent="0.3">
      <c r="A20" s="20">
        <v>45931</v>
      </c>
      <c r="B20" s="21" t="s">
        <v>18</v>
      </c>
      <c r="C20" s="21">
        <v>238</v>
      </c>
      <c r="D20" s="22">
        <v>460899.42</v>
      </c>
      <c r="E20" s="23">
        <f>D20*D49</f>
        <v>2995.8462299999997</v>
      </c>
      <c r="F20" s="24">
        <f>D20*D50</f>
        <v>13826.982599999999</v>
      </c>
      <c r="G20" s="23">
        <f t="shared" si="13"/>
        <v>13476.833546491453</v>
      </c>
      <c r="H20" s="23">
        <f t="shared" si="20"/>
        <v>13273.903296</v>
      </c>
      <c r="I20" s="23">
        <f t="shared" ref="I20:I24" si="23">D20*3%</f>
        <v>13826.982599999999</v>
      </c>
      <c r="J20" s="23">
        <f t="shared" si="14"/>
        <v>22123.172159999998</v>
      </c>
      <c r="K20" s="25">
        <f t="shared" si="15"/>
        <v>79523.720432491449</v>
      </c>
      <c r="L20" s="26">
        <f t="shared" si="16"/>
        <v>0.17254029183306729</v>
      </c>
      <c r="M20" s="34"/>
      <c r="N20" s="28">
        <f t="shared" si="17"/>
        <v>0.63597394675427343</v>
      </c>
      <c r="O20" s="23">
        <f t="shared" si="18"/>
        <v>12719.478935085468</v>
      </c>
      <c r="P20" s="23">
        <f t="shared" si="19"/>
        <v>147487.8144</v>
      </c>
      <c r="Q20" s="23">
        <f t="shared" si="21"/>
        <v>134768.33546491453</v>
      </c>
      <c r="R20" s="29">
        <f t="shared" si="22"/>
        <v>13476.833546491454</v>
      </c>
    </row>
    <row r="21" spans="1:20" x14ac:dyDescent="0.3">
      <c r="A21" s="20">
        <v>45931</v>
      </c>
      <c r="B21" s="21" t="s">
        <v>28</v>
      </c>
      <c r="C21" s="21">
        <v>237</v>
      </c>
      <c r="D21" s="22">
        <v>170635.65</v>
      </c>
      <c r="E21" s="23">
        <f>D21*D49</f>
        <v>1109.131725</v>
      </c>
      <c r="F21" s="24">
        <f>D21*D50</f>
        <v>5119.0694999999996</v>
      </c>
      <c r="G21" s="23">
        <f>(((D21*32%)*15%)+R21)-J21</f>
        <v>4989.4362031251285</v>
      </c>
      <c r="H21" s="23">
        <f>(D21*32%)*9%</f>
        <v>4914.3067199999996</v>
      </c>
      <c r="I21" s="23">
        <f>D21*2%</f>
        <v>3412.7129999999997</v>
      </c>
      <c r="J21" s="23">
        <f>D21*4.8%</f>
        <v>8190.5111999999999</v>
      </c>
      <c r="K21" s="25">
        <f>SUM(E21:J21)</f>
        <v>27735.168348125128</v>
      </c>
      <c r="L21" s="26">
        <f>K21/D21</f>
        <v>0.16254029183306729</v>
      </c>
      <c r="M21" s="34"/>
      <c r="N21" s="28">
        <f t="shared" si="17"/>
        <v>0.23545229843743531</v>
      </c>
      <c r="O21" s="23">
        <f>O$17*N21</f>
        <v>4709.0459687487064</v>
      </c>
      <c r="P21" s="23">
        <f>D21*32%</f>
        <v>54603.407999999996</v>
      </c>
      <c r="Q21" s="23">
        <f>P21-O21</f>
        <v>49894.362031251287</v>
      </c>
      <c r="R21" s="29">
        <f>Q21*10%</f>
        <v>4989.4362031251294</v>
      </c>
    </row>
    <row r="22" spans="1:20" x14ac:dyDescent="0.3">
      <c r="A22" s="20">
        <v>45931</v>
      </c>
      <c r="B22" s="21" t="s">
        <v>20</v>
      </c>
      <c r="C22" s="21">
        <v>236</v>
      </c>
      <c r="D22" s="22">
        <v>31583.33</v>
      </c>
      <c r="E22" s="23">
        <f>D22*D49</f>
        <v>205.29164499999999</v>
      </c>
      <c r="F22" s="24">
        <f>D22*D50</f>
        <v>947.49990000000003</v>
      </c>
      <c r="G22" s="23">
        <f t="shared" si="13"/>
        <v>923.50578626006904</v>
      </c>
      <c r="H22" s="23">
        <f t="shared" si="20"/>
        <v>909.59990400000004</v>
      </c>
      <c r="I22" s="23">
        <f>D22*2%</f>
        <v>631.66660000000002</v>
      </c>
      <c r="J22" s="23">
        <f t="shared" si="14"/>
        <v>1515.9998400000002</v>
      </c>
      <c r="K22" s="25">
        <f t="shared" si="15"/>
        <v>5133.5636752600694</v>
      </c>
      <c r="L22" s="26">
        <f t="shared" si="16"/>
        <v>0.16254029183306729</v>
      </c>
      <c r="M22" s="34"/>
      <c r="N22" s="28">
        <f t="shared" si="17"/>
        <v>4.3580386869965355E-2</v>
      </c>
      <c r="O22" s="23">
        <f t="shared" si="18"/>
        <v>871.6077373993071</v>
      </c>
      <c r="P22" s="23">
        <f t="shared" si="19"/>
        <v>10106.6656</v>
      </c>
      <c r="Q22" s="23">
        <f t="shared" si="21"/>
        <v>9235.0578626006936</v>
      </c>
      <c r="R22" s="29">
        <f t="shared" si="22"/>
        <v>923.50578626006939</v>
      </c>
    </row>
    <row r="23" spans="1:20" x14ac:dyDescent="0.3">
      <c r="A23" s="20">
        <v>45931</v>
      </c>
      <c r="B23" s="54" t="s">
        <v>29</v>
      </c>
      <c r="C23" s="21">
        <v>226</v>
      </c>
      <c r="D23" s="33">
        <v>7305.76</v>
      </c>
      <c r="E23" s="23">
        <f>D23*D49</f>
        <v>47.487439999999999</v>
      </c>
      <c r="F23" s="24">
        <f>D23*D50</f>
        <v>219.1728</v>
      </c>
      <c r="G23" s="23">
        <f t="shared" si="13"/>
        <v>564.29903446234982</v>
      </c>
      <c r="H23" s="23">
        <f t="shared" si="20"/>
        <v>210.405888</v>
      </c>
      <c r="I23" s="23">
        <f t="shared" si="23"/>
        <v>219.1728</v>
      </c>
      <c r="J23" s="23"/>
      <c r="K23" s="25">
        <f t="shared" si="15"/>
        <v>1260.5379624623499</v>
      </c>
      <c r="L23" s="26">
        <f t="shared" si="16"/>
        <v>0.17254029183306732</v>
      </c>
      <c r="M23" s="34"/>
      <c r="N23" s="28">
        <f t="shared" si="17"/>
        <v>1.008088276882514E-2</v>
      </c>
      <c r="O23" s="23">
        <f t="shared" si="18"/>
        <v>201.6176553765028</v>
      </c>
      <c r="P23" s="23">
        <f t="shared" si="19"/>
        <v>2337.8432000000003</v>
      </c>
      <c r="Q23" s="23">
        <f t="shared" si="21"/>
        <v>2136.2255446234976</v>
      </c>
      <c r="R23" s="29">
        <f t="shared" si="22"/>
        <v>213.62255446234977</v>
      </c>
    </row>
    <row r="24" spans="1:20" ht="15" thickBot="1" x14ac:dyDescent="0.35">
      <c r="A24" s="20">
        <v>45931</v>
      </c>
      <c r="B24" s="54" t="s">
        <v>21</v>
      </c>
      <c r="C24" s="36">
        <v>239</v>
      </c>
      <c r="D24" s="55">
        <v>50206.66</v>
      </c>
      <c r="E24" s="23">
        <f>D24*D49</f>
        <v>326.34329000000002</v>
      </c>
      <c r="F24" s="24">
        <f>D24*D50</f>
        <v>1506.1998000000001</v>
      </c>
      <c r="G24" s="23">
        <f t="shared" si="13"/>
        <v>1468.0573903635864</v>
      </c>
      <c r="H24" s="23">
        <f t="shared" si="20"/>
        <v>1445.951808</v>
      </c>
      <c r="I24" s="23">
        <f t="shared" si="23"/>
        <v>1506.1998000000001</v>
      </c>
      <c r="J24" s="23">
        <f t="shared" si="14"/>
        <v>2409.9196800000004</v>
      </c>
      <c r="K24" s="25">
        <f t="shared" si="15"/>
        <v>8662.671768363587</v>
      </c>
      <c r="L24" s="26">
        <f t="shared" si="16"/>
        <v>0.17254029183306729</v>
      </c>
      <c r="M24" s="34"/>
      <c r="N24" s="28">
        <f t="shared" si="17"/>
        <v>6.9277864818206789E-2</v>
      </c>
      <c r="O24" s="23">
        <f t="shared" si="18"/>
        <v>1385.5572963641357</v>
      </c>
      <c r="P24" s="23">
        <f t="shared" si="19"/>
        <v>16066.131200000002</v>
      </c>
      <c r="Q24" s="23">
        <f t="shared" si="21"/>
        <v>14680.573903635866</v>
      </c>
      <c r="R24" s="29">
        <f t="shared" si="22"/>
        <v>1468.0573903635868</v>
      </c>
    </row>
    <row r="25" spans="1:20" ht="15" thickBot="1" x14ac:dyDescent="0.35">
      <c r="A25" s="56"/>
      <c r="B25" s="57" t="s">
        <v>14</v>
      </c>
      <c r="C25" s="38"/>
      <c r="D25" s="39">
        <f t="shared" ref="D25:K25" si="24">SUM(D18:D24)</f>
        <v>724714.30999999994</v>
      </c>
      <c r="E25" s="40">
        <f t="shared" si="24"/>
        <v>4710.6430149999997</v>
      </c>
      <c r="F25" s="40">
        <f t="shared" si="24"/>
        <v>21741.429299999996</v>
      </c>
      <c r="G25" s="40">
        <f t="shared" si="24"/>
        <v>21696.758719999998</v>
      </c>
      <c r="H25" s="40">
        <f t="shared" si="24"/>
        <v>20871.772128000001</v>
      </c>
      <c r="I25" s="40">
        <f t="shared" si="24"/>
        <v>19719.239499999996</v>
      </c>
      <c r="J25" s="40">
        <f t="shared" si="24"/>
        <v>34280.386080000004</v>
      </c>
      <c r="K25" s="40">
        <f t="shared" si="24"/>
        <v>123020.22874299999</v>
      </c>
      <c r="L25" s="58">
        <f t="shared" si="16"/>
        <v>0.16974996497999328</v>
      </c>
      <c r="N25" s="42" t="s">
        <v>14</v>
      </c>
      <c r="O25" s="43">
        <f>SUM(O18:O24)</f>
        <v>20000</v>
      </c>
      <c r="P25" s="43">
        <f>SUM(P18:P24)</f>
        <v>231908.57920000001</v>
      </c>
      <c r="Q25" s="43">
        <f>SUM(Q18:Q24)</f>
        <v>211908.57920000001</v>
      </c>
      <c r="R25" s="59">
        <f>SUM(R18:R24)</f>
        <v>21190.857920000002</v>
      </c>
    </row>
    <row r="26" spans="1:20" x14ac:dyDescent="0.3">
      <c r="A26" s="60"/>
      <c r="B26" s="60"/>
      <c r="C26" s="60"/>
      <c r="D26" s="61"/>
      <c r="E26" s="61"/>
      <c r="F26" s="61"/>
      <c r="G26" s="61"/>
      <c r="H26" s="61"/>
      <c r="I26" s="61"/>
      <c r="J26" s="61"/>
      <c r="K26" s="61"/>
      <c r="L26" s="62"/>
      <c r="N26" s="63"/>
      <c r="O26" s="64"/>
      <c r="P26" s="64"/>
      <c r="Q26" s="64"/>
      <c r="R26" s="64"/>
    </row>
    <row r="27" spans="1:20" ht="15" thickBot="1" x14ac:dyDescent="0.35">
      <c r="D27" s="65"/>
      <c r="E27" s="44"/>
      <c r="F27" s="65"/>
      <c r="G27" s="44"/>
      <c r="J27" s="44"/>
      <c r="K27" s="44"/>
      <c r="P27" s="44"/>
      <c r="Q27" s="44"/>
      <c r="R27" s="44"/>
    </row>
    <row r="28" spans="1:20" ht="16.2" thickBot="1" x14ac:dyDescent="0.35">
      <c r="A28" s="1" t="s">
        <v>30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N28" s="48"/>
      <c r="P28" s="44"/>
      <c r="Q28" s="44"/>
      <c r="R28" s="44"/>
      <c r="S28" t="s">
        <v>31</v>
      </c>
    </row>
    <row r="29" spans="1:20" x14ac:dyDescent="0.3">
      <c r="A29" s="8" t="s">
        <v>2</v>
      </c>
      <c r="B29" s="9" t="s">
        <v>3</v>
      </c>
      <c r="C29" s="9" t="s">
        <v>4</v>
      </c>
      <c r="D29" s="10" t="s">
        <v>5</v>
      </c>
      <c r="E29" s="11" t="s">
        <v>6</v>
      </c>
      <c r="F29" s="12" t="s">
        <v>7</v>
      </c>
      <c r="G29" s="9" t="s">
        <v>8</v>
      </c>
      <c r="H29" s="10" t="s">
        <v>9</v>
      </c>
      <c r="I29" s="11" t="s">
        <v>25</v>
      </c>
      <c r="J29" s="11" t="s">
        <v>11</v>
      </c>
      <c r="K29" s="9" t="s">
        <v>12</v>
      </c>
      <c r="L29" s="13" t="s">
        <v>13</v>
      </c>
      <c r="M29" s="49"/>
      <c r="N29" s="50" t="s">
        <v>32</v>
      </c>
      <c r="O29" s="51">
        <v>20000</v>
      </c>
      <c r="P29" s="17">
        <v>0.32</v>
      </c>
      <c r="Q29" s="52"/>
      <c r="R29" s="53" t="s">
        <v>14</v>
      </c>
      <c r="S29" s="44">
        <f>D38-D34-D35</f>
        <v>568434.85</v>
      </c>
    </row>
    <row r="30" spans="1:20" x14ac:dyDescent="0.3">
      <c r="A30" s="20">
        <v>45962</v>
      </c>
      <c r="B30" s="21" t="s">
        <v>15</v>
      </c>
      <c r="C30" s="21">
        <v>242</v>
      </c>
      <c r="D30" s="22">
        <v>849.65</v>
      </c>
      <c r="E30" s="23">
        <f>D30*D49</f>
        <v>5.5227249999999994</v>
      </c>
      <c r="F30" s="24">
        <f>D30*D50</f>
        <v>25.4895</v>
      </c>
      <c r="G30" s="23">
        <f>(((D30*32%)*15%)+R30)-J30</f>
        <v>24.645455911871842</v>
      </c>
      <c r="H30" s="23">
        <f>(D30*32%)*9%</f>
        <v>24.469919999999998</v>
      </c>
      <c r="I30" s="23">
        <f>D30*3%</f>
        <v>25.4895</v>
      </c>
      <c r="J30" s="23">
        <f t="shared" ref="J30" si="25">D30*4.8%</f>
        <v>40.783200000000001</v>
      </c>
      <c r="K30" s="25">
        <f>SUM(E30:J30)</f>
        <v>146.40030091187182</v>
      </c>
      <c r="L30" s="26">
        <f t="shared" ref="L30:L38" si="26">K30/D30</f>
        <v>0.17230659790722277</v>
      </c>
      <c r="N30" s="28">
        <f t="shared" ref="N30:N37" si="27">D30/D$38</f>
        <v>1.2716720440640761E-3</v>
      </c>
      <c r="O30" s="23">
        <f>O$17*N30</f>
        <v>25.433440881281523</v>
      </c>
      <c r="P30" s="23">
        <f>D30*32%</f>
        <v>271.88799999999998</v>
      </c>
      <c r="Q30" s="23">
        <f>P30-O30</f>
        <v>246.45455911871846</v>
      </c>
      <c r="R30" s="29">
        <f>Q30*10%</f>
        <v>24.645455911871849</v>
      </c>
      <c r="S30" s="27">
        <f>D30/$S$29</f>
        <v>1.4947183481097263E-3</v>
      </c>
      <c r="T30" s="21" t="s">
        <v>15</v>
      </c>
    </row>
    <row r="31" spans="1:20" x14ac:dyDescent="0.3">
      <c r="A31" s="20">
        <v>45962</v>
      </c>
      <c r="B31" s="21" t="s">
        <v>26</v>
      </c>
      <c r="C31" s="21" t="s">
        <v>33</v>
      </c>
      <c r="D31" s="22">
        <f>404.23*8</f>
        <v>3233.84</v>
      </c>
      <c r="E31" s="23">
        <f>D31*D49</f>
        <v>21.019960000000001</v>
      </c>
      <c r="F31" s="24">
        <f>D31*D50</f>
        <v>97.015200000000007</v>
      </c>
      <c r="G31" s="23">
        <f>(((D31*32%)*15%)+R31)-J31</f>
        <v>249.02701657629336</v>
      </c>
      <c r="H31" s="23">
        <f t="shared" ref="H31:H37" si="28">(D31*32%)*9%</f>
        <v>93.134591999999998</v>
      </c>
      <c r="I31" s="23">
        <f t="shared" ref="I31:I37" si="29">D31*3%</f>
        <v>97.015200000000007</v>
      </c>
      <c r="J31" s="23"/>
      <c r="K31" s="25">
        <f>SUM(E31:J31)</f>
        <v>557.21196857629343</v>
      </c>
      <c r="L31" s="26">
        <f t="shared" si="26"/>
        <v>0.1723065979072228</v>
      </c>
      <c r="N31" s="28">
        <f t="shared" si="27"/>
        <v>4.8400917118533188E-3</v>
      </c>
      <c r="O31" s="23">
        <f>O$17*N31</f>
        <v>96.801834237066373</v>
      </c>
      <c r="P31" s="23">
        <f>D31*32%</f>
        <v>1034.8288</v>
      </c>
      <c r="Q31" s="23">
        <f t="shared" ref="Q31:Q37" si="30">P31-O31</f>
        <v>938.02696576293363</v>
      </c>
      <c r="R31" s="29">
        <f t="shared" ref="R31:R37" si="31">Q31*10%</f>
        <v>93.802696576293371</v>
      </c>
      <c r="S31" s="27">
        <f t="shared" ref="S31:S33" si="32">D31/$S$29</f>
        <v>5.6890248724194171E-3</v>
      </c>
      <c r="T31" s="21" t="s">
        <v>26</v>
      </c>
    </row>
    <row r="32" spans="1:20" x14ac:dyDescent="0.3">
      <c r="A32" s="20">
        <v>45962</v>
      </c>
      <c r="B32" s="21" t="s">
        <v>18</v>
      </c>
      <c r="C32" s="21">
        <v>240</v>
      </c>
      <c r="D32" s="22">
        <v>460899.42</v>
      </c>
      <c r="E32" s="23">
        <f>D32*D49</f>
        <v>2995.8462299999997</v>
      </c>
      <c r="F32" s="24">
        <f>D32*D50</f>
        <v>13826.982599999999</v>
      </c>
      <c r="G32" s="23">
        <f>(((D32*32%)*15%)+R32)-J32</f>
        <v>13369.124151612199</v>
      </c>
      <c r="H32" s="23">
        <f t="shared" si="28"/>
        <v>13273.903296</v>
      </c>
      <c r="I32" s="23">
        <f t="shared" si="29"/>
        <v>13826.982599999999</v>
      </c>
      <c r="J32" s="23">
        <f>D32*4.8%</f>
        <v>22123.172159999998</v>
      </c>
      <c r="K32" s="25">
        <f>SUM(E32:J32)</f>
        <v>79416.011037612203</v>
      </c>
      <c r="L32" s="26">
        <f t="shared" si="26"/>
        <v>0.1723065979072228</v>
      </c>
      <c r="N32" s="28">
        <f t="shared" si="27"/>
        <v>0.6898286441939</v>
      </c>
      <c r="O32" s="23">
        <f>O$17*N32</f>
        <v>13796.572883878</v>
      </c>
      <c r="P32" s="23">
        <f>D32*32%</f>
        <v>147487.8144</v>
      </c>
      <c r="Q32" s="23">
        <f t="shared" si="30"/>
        <v>133691.24151612201</v>
      </c>
      <c r="R32" s="29">
        <f t="shared" si="31"/>
        <v>13369.124151612203</v>
      </c>
      <c r="S32" s="27">
        <f t="shared" si="32"/>
        <v>0.8108218910223397</v>
      </c>
      <c r="T32" s="21" t="s">
        <v>18</v>
      </c>
    </row>
    <row r="33" spans="1:20" x14ac:dyDescent="0.3">
      <c r="A33" s="20">
        <v>45962</v>
      </c>
      <c r="B33" s="21" t="s">
        <v>20</v>
      </c>
      <c r="C33" s="21" t="s">
        <v>34</v>
      </c>
      <c r="D33" s="22">
        <v>29477.77</v>
      </c>
      <c r="E33" s="23">
        <f>D33*D49</f>
        <v>191.60550499999999</v>
      </c>
      <c r="F33" s="24">
        <f>D33*D50</f>
        <v>884.33309999999994</v>
      </c>
      <c r="G33" s="23">
        <f>(((D33*32%)*15%)+R33)-J33</f>
        <v>855.04982159159499</v>
      </c>
      <c r="H33" s="23">
        <f t="shared" si="28"/>
        <v>848.95977600000003</v>
      </c>
      <c r="I33" s="23">
        <f>D33*2%</f>
        <v>589.55540000000008</v>
      </c>
      <c r="J33" s="23">
        <f>D33*4.8%</f>
        <v>1414.9329600000001</v>
      </c>
      <c r="K33" s="25">
        <f>SUM(E33:J33)</f>
        <v>4784.4365625915952</v>
      </c>
      <c r="L33" s="26">
        <f t="shared" si="26"/>
        <v>0.16230659790722279</v>
      </c>
      <c r="N33" s="28">
        <f t="shared" si="27"/>
        <v>4.4119409204202556E-2</v>
      </c>
      <c r="O33" s="23">
        <f>O$17*N33</f>
        <v>882.38818408405109</v>
      </c>
      <c r="P33" s="23">
        <f>D33*32%</f>
        <v>9432.8864000000012</v>
      </c>
      <c r="Q33" s="23">
        <f t="shared" si="30"/>
        <v>8550.4982159159499</v>
      </c>
      <c r="R33" s="29">
        <f t="shared" si="31"/>
        <v>855.04982159159499</v>
      </c>
      <c r="S33" s="27">
        <f t="shared" si="32"/>
        <v>5.1857781063212434E-2</v>
      </c>
      <c r="T33" s="21" t="s">
        <v>20</v>
      </c>
    </row>
    <row r="34" spans="1:20" x14ac:dyDescent="0.3">
      <c r="A34" s="20">
        <v>45962</v>
      </c>
      <c r="B34" s="21" t="s">
        <v>35</v>
      </c>
      <c r="C34" s="21">
        <v>1023</v>
      </c>
      <c r="D34" s="22">
        <v>54156.25</v>
      </c>
      <c r="E34" s="23">
        <f>D34*D49</f>
        <v>352.015625</v>
      </c>
      <c r="F34" s="24">
        <f>D34*D50</f>
        <v>1624.6875</v>
      </c>
      <c r="G34" s="23">
        <f t="shared" ref="G34:G36" si="33">(((D34*32%)*15%)+R34)-J34</f>
        <v>4170.3885679130344</v>
      </c>
      <c r="H34" s="23">
        <f t="shared" si="28"/>
        <v>1559.7</v>
      </c>
      <c r="I34" s="23"/>
      <c r="J34" s="23"/>
      <c r="K34" s="25">
        <f t="shared" ref="K34:K36" si="34">SUM(E34:J34)</f>
        <v>7706.7916929130342</v>
      </c>
      <c r="L34" s="26">
        <f t="shared" si="26"/>
        <v>0.1423065979072228</v>
      </c>
      <c r="N34" s="28">
        <f t="shared" si="27"/>
        <v>8.1055716043482759E-2</v>
      </c>
      <c r="O34" s="23">
        <f t="shared" ref="O34:O36" si="35">O$17*N34</f>
        <v>1621.1143208696551</v>
      </c>
      <c r="P34" s="23">
        <f t="shared" ref="P34:P36" si="36">D34*32%</f>
        <v>17330</v>
      </c>
      <c r="Q34" s="23">
        <f t="shared" si="30"/>
        <v>15708.885679130344</v>
      </c>
      <c r="R34" s="29">
        <f t="shared" si="31"/>
        <v>1570.8885679130344</v>
      </c>
      <c r="T34" s="21" t="s">
        <v>35</v>
      </c>
    </row>
    <row r="35" spans="1:20" x14ac:dyDescent="0.3">
      <c r="A35" s="20">
        <v>45962</v>
      </c>
      <c r="B35" s="21" t="s">
        <v>23</v>
      </c>
      <c r="C35" s="21">
        <v>1024</v>
      </c>
      <c r="D35" s="22">
        <v>45545</v>
      </c>
      <c r="E35" s="23">
        <f>D35*D49</f>
        <v>296.04249999999996</v>
      </c>
      <c r="F35" s="24">
        <f>D35*D50</f>
        <v>1366.35</v>
      </c>
      <c r="G35" s="23">
        <f t="shared" si="33"/>
        <v>3507.2655016844619</v>
      </c>
      <c r="H35" s="23">
        <f t="shared" si="28"/>
        <v>1311.6959999999999</v>
      </c>
      <c r="I35" s="23"/>
      <c r="J35" s="23"/>
      <c r="K35" s="25">
        <f t="shared" si="34"/>
        <v>6481.3540016844618</v>
      </c>
      <c r="L35" s="26">
        <f t="shared" si="26"/>
        <v>0.14230659790722278</v>
      </c>
      <c r="N35" s="28">
        <f t="shared" si="27"/>
        <v>6.8167249157768908E-2</v>
      </c>
      <c r="O35" s="23">
        <f t="shared" si="35"/>
        <v>1363.3449831553783</v>
      </c>
      <c r="P35" s="23">
        <f t="shared" si="36"/>
        <v>14574.4</v>
      </c>
      <c r="Q35" s="23">
        <f t="shared" si="30"/>
        <v>13211.055016844621</v>
      </c>
      <c r="R35" s="29">
        <f t="shared" si="31"/>
        <v>1321.1055016844621</v>
      </c>
      <c r="T35" s="21" t="s">
        <v>23</v>
      </c>
    </row>
    <row r="36" spans="1:20" x14ac:dyDescent="0.3">
      <c r="A36" s="20">
        <v>45962</v>
      </c>
      <c r="B36" s="21" t="s">
        <v>36</v>
      </c>
      <c r="C36" s="21">
        <v>254</v>
      </c>
      <c r="D36" s="66">
        <v>23767.51</v>
      </c>
      <c r="E36" s="23">
        <f>D36*D49</f>
        <v>154.48881499999999</v>
      </c>
      <c r="F36" s="24">
        <f>D36*D50</f>
        <v>713.0252999999999</v>
      </c>
      <c r="G36" s="23">
        <f t="shared" si="33"/>
        <v>689.41460582589684</v>
      </c>
      <c r="H36" s="23">
        <f t="shared" si="28"/>
        <v>684.50428799999997</v>
      </c>
      <c r="I36" s="23">
        <f t="shared" ref="I36" si="37">D36*3%</f>
        <v>713.0252999999999</v>
      </c>
      <c r="J36" s="23">
        <f t="shared" ref="J36:J37" si="38">D36*4.8%</f>
        <v>1140.8404799999998</v>
      </c>
      <c r="K36" s="25">
        <f t="shared" si="34"/>
        <v>4095.2987888258963</v>
      </c>
      <c r="L36" s="26">
        <f t="shared" si="26"/>
        <v>0.17230659790722277</v>
      </c>
      <c r="N36" s="28">
        <f t="shared" si="27"/>
        <v>3.5572857087051574E-2</v>
      </c>
      <c r="O36" s="23">
        <f t="shared" si="35"/>
        <v>711.45714174103148</v>
      </c>
      <c r="P36" s="23">
        <f t="shared" si="36"/>
        <v>7605.6031999999996</v>
      </c>
      <c r="Q36" s="23">
        <f t="shared" si="30"/>
        <v>6894.146058258968</v>
      </c>
      <c r="R36" s="29">
        <f t="shared" si="31"/>
        <v>689.41460582589684</v>
      </c>
      <c r="S36" s="27">
        <f t="shared" ref="S36:S37" si="39">D36/$S$29</f>
        <v>4.1812197123381863E-2</v>
      </c>
      <c r="T36" s="21" t="s">
        <v>36</v>
      </c>
    </row>
    <row r="37" spans="1:20" ht="15" thickBot="1" x14ac:dyDescent="0.35">
      <c r="A37" s="20">
        <v>45962</v>
      </c>
      <c r="B37" s="21" t="s">
        <v>21</v>
      </c>
      <c r="C37" s="21">
        <v>257</v>
      </c>
      <c r="D37" s="66">
        <v>50206.66</v>
      </c>
      <c r="E37" s="23">
        <f>D37*D49</f>
        <v>326.34329000000002</v>
      </c>
      <c r="F37" s="24">
        <f>D37*D50</f>
        <v>1506.1998000000001</v>
      </c>
      <c r="G37" s="23">
        <f>(((D37*32%)*15%)+R37)-J37</f>
        <v>1456.3243988846461</v>
      </c>
      <c r="H37" s="23">
        <f t="shared" si="28"/>
        <v>1445.951808</v>
      </c>
      <c r="I37" s="23">
        <f t="shared" si="29"/>
        <v>1506.1998000000001</v>
      </c>
      <c r="J37" s="23">
        <f t="shared" si="38"/>
        <v>2409.9196800000004</v>
      </c>
      <c r="K37" s="25">
        <f>SUM(E37:J37)</f>
        <v>8650.9387768846464</v>
      </c>
      <c r="L37" s="26">
        <f t="shared" si="26"/>
        <v>0.17230659790722277</v>
      </c>
      <c r="N37" s="28">
        <f t="shared" si="27"/>
        <v>7.5144360557676801E-2</v>
      </c>
      <c r="O37" s="23">
        <f>O$17*N37</f>
        <v>1502.8872111535361</v>
      </c>
      <c r="P37" s="23">
        <f>D37*32%</f>
        <v>16066.131200000002</v>
      </c>
      <c r="Q37" s="23">
        <f t="shared" si="30"/>
        <v>14563.243988846465</v>
      </c>
      <c r="R37" s="29">
        <f t="shared" si="31"/>
        <v>1456.3243988846466</v>
      </c>
      <c r="S37" s="27">
        <f t="shared" si="39"/>
        <v>8.83243875705369E-2</v>
      </c>
      <c r="T37" s="21" t="s">
        <v>21</v>
      </c>
    </row>
    <row r="38" spans="1:20" ht="15" thickBot="1" x14ac:dyDescent="0.35">
      <c r="A38" s="56"/>
      <c r="B38" s="67" t="s">
        <v>14</v>
      </c>
      <c r="C38" s="38"/>
      <c r="D38" s="40">
        <f t="shared" ref="D38:K38" si="40">SUM(D30:D37)</f>
        <v>668136.1</v>
      </c>
      <c r="E38" s="40">
        <f t="shared" si="40"/>
        <v>4342.88465</v>
      </c>
      <c r="F38" s="40">
        <f t="shared" si="40"/>
        <v>20044.082999999995</v>
      </c>
      <c r="G38" s="40">
        <f t="shared" si="40"/>
        <v>24321.239519999996</v>
      </c>
      <c r="H38" s="40">
        <f t="shared" si="40"/>
        <v>19242.319680000001</v>
      </c>
      <c r="I38" s="40">
        <f t="shared" si="40"/>
        <v>16758.267799999998</v>
      </c>
      <c r="J38" s="40">
        <f t="shared" si="40"/>
        <v>27129.648479999996</v>
      </c>
      <c r="K38" s="40">
        <f t="shared" si="40"/>
        <v>111838.44313</v>
      </c>
      <c r="L38" s="58">
        <f t="shared" si="26"/>
        <v>0.16738871485914322</v>
      </c>
      <c r="N38" s="42" t="s">
        <v>14</v>
      </c>
      <c r="O38" s="43">
        <f>SUM(O30:O37)</f>
        <v>19999.999999999996</v>
      </c>
      <c r="P38" s="43">
        <f>SUM(P30:P37)</f>
        <v>213803.552</v>
      </c>
      <c r="Q38" s="43">
        <f>SUM(Q30:Q37)</f>
        <v>193803.55200000003</v>
      </c>
      <c r="R38" s="59">
        <f>SUM(R30:R37)</f>
        <v>19380.355200000005</v>
      </c>
      <c r="S38" s="68">
        <f>SUM(S30:S37)</f>
        <v>1.0000000000000002</v>
      </c>
    </row>
    <row r="39" spans="1:20" x14ac:dyDescent="0.3">
      <c r="A39" s="60"/>
      <c r="B39" s="60"/>
      <c r="C39" s="60"/>
      <c r="D39" s="61"/>
      <c r="E39" s="61"/>
      <c r="F39" s="61"/>
      <c r="G39" s="61"/>
      <c r="H39" s="61"/>
      <c r="I39" s="61"/>
      <c r="J39" s="61"/>
      <c r="K39" s="61"/>
      <c r="L39" s="62"/>
      <c r="N39" s="63"/>
      <c r="O39" s="64"/>
      <c r="P39" s="64"/>
      <c r="Q39" s="64"/>
      <c r="R39" s="64"/>
    </row>
    <row r="40" spans="1:20" ht="15" thickBot="1" x14ac:dyDescent="0.35">
      <c r="D40" s="65"/>
      <c r="E40" s="44"/>
      <c r="F40" s="65"/>
      <c r="G40" s="44"/>
      <c r="J40" s="44"/>
      <c r="K40" s="44"/>
      <c r="P40" s="44"/>
      <c r="Q40" s="44"/>
      <c r="R40" s="44"/>
    </row>
    <row r="41" spans="1:20" ht="15" thickBot="1" x14ac:dyDescent="0.35">
      <c r="B41" s="69" t="s">
        <v>37</v>
      </c>
      <c r="C41" s="70"/>
      <c r="D41" s="70"/>
      <c r="E41" s="70"/>
      <c r="F41" s="70"/>
      <c r="G41" s="70"/>
      <c r="H41" s="70"/>
      <c r="I41" s="70"/>
      <c r="J41" s="70"/>
      <c r="K41" s="70"/>
      <c r="L41" s="71"/>
      <c r="N41" s="72" t="s">
        <v>38</v>
      </c>
      <c r="O41" s="73">
        <f>O13+O25+O38</f>
        <v>60000</v>
      </c>
      <c r="P41" s="73">
        <f>P13+P25+P38</f>
        <v>653817.60640000005</v>
      </c>
      <c r="Q41" s="73">
        <f>Q13+Q25+Q38</f>
        <v>593817.60640000005</v>
      </c>
      <c r="R41" s="73">
        <f>R13+R25+R38</f>
        <v>59381.760640000008</v>
      </c>
    </row>
    <row r="42" spans="1:20" ht="15" thickBot="1" x14ac:dyDescent="0.35">
      <c r="A42" s="60"/>
      <c r="B42" s="8" t="s">
        <v>3</v>
      </c>
      <c r="C42" s="74"/>
      <c r="D42" s="10" t="s">
        <v>5</v>
      </c>
      <c r="E42" s="11" t="s">
        <v>6</v>
      </c>
      <c r="F42" s="12" t="s">
        <v>7</v>
      </c>
      <c r="G42" s="9" t="s">
        <v>8</v>
      </c>
      <c r="H42" s="10" t="s">
        <v>9</v>
      </c>
      <c r="I42" s="11" t="s">
        <v>25</v>
      </c>
      <c r="J42" s="11" t="s">
        <v>11</v>
      </c>
      <c r="K42" s="9" t="s">
        <v>12</v>
      </c>
      <c r="L42" s="13" t="s">
        <v>13</v>
      </c>
      <c r="M42" s="49"/>
      <c r="R42" s="44"/>
    </row>
    <row r="43" spans="1:20" x14ac:dyDescent="0.3">
      <c r="A43" s="60"/>
      <c r="B43" s="75" t="s">
        <v>39</v>
      </c>
      <c r="C43" s="76"/>
      <c r="D43" s="77">
        <f t="shared" ref="D43:L43" si="41">D13+D25+D38</f>
        <v>2043180.02</v>
      </c>
      <c r="E43" s="77">
        <f t="shared" si="41"/>
        <v>13280.670129999999</v>
      </c>
      <c r="F43" s="77">
        <f t="shared" si="41"/>
        <v>61295.400599999994</v>
      </c>
      <c r="G43" s="77">
        <f t="shared" si="41"/>
        <v>68415.71007999999</v>
      </c>
      <c r="H43" s="77">
        <f t="shared" si="41"/>
        <v>58843.584576000008</v>
      </c>
      <c r="I43" s="77">
        <f t="shared" si="41"/>
        <v>53514.472899999993</v>
      </c>
      <c r="J43" s="77">
        <f t="shared" si="41"/>
        <v>89038.691519999993</v>
      </c>
      <c r="K43" s="77">
        <f t="shared" si="41"/>
        <v>344388.52980599995</v>
      </c>
      <c r="L43" s="77">
        <f t="shared" si="41"/>
        <v>0.50556074804697959</v>
      </c>
      <c r="R43" s="44"/>
    </row>
    <row r="44" spans="1:20" x14ac:dyDescent="0.3">
      <c r="E44" s="44"/>
      <c r="G44" s="44"/>
      <c r="H44" s="44"/>
      <c r="J44" s="44"/>
      <c r="K44" s="44"/>
    </row>
    <row r="45" spans="1:20" x14ac:dyDescent="0.3">
      <c r="G45" s="44"/>
      <c r="H45" s="44"/>
    </row>
    <row r="46" spans="1:20" x14ac:dyDescent="0.3">
      <c r="B46" s="21"/>
      <c r="C46" s="21"/>
      <c r="D46" s="79" t="s">
        <v>40</v>
      </c>
      <c r="G46" s="44"/>
      <c r="H46" s="44"/>
      <c r="O46" s="44"/>
      <c r="P46" s="44"/>
    </row>
    <row r="47" spans="1:20" x14ac:dyDescent="0.3">
      <c r="B47" s="21" t="s">
        <v>41</v>
      </c>
      <c r="C47" s="21"/>
      <c r="D47" s="80">
        <v>0</v>
      </c>
      <c r="O47" s="44"/>
      <c r="P47" s="44"/>
    </row>
    <row r="48" spans="1:20" x14ac:dyDescent="0.3">
      <c r="B48" s="81" t="s">
        <v>10</v>
      </c>
      <c r="C48" s="81"/>
      <c r="D48" s="82">
        <v>0.03</v>
      </c>
      <c r="P48" s="44"/>
    </row>
    <row r="49" spans="2:8" x14ac:dyDescent="0.3">
      <c r="B49" s="21" t="s">
        <v>6</v>
      </c>
      <c r="C49" s="21"/>
      <c r="D49" s="80">
        <v>6.4999999999999997E-3</v>
      </c>
    </row>
    <row r="50" spans="2:8" x14ac:dyDescent="0.3">
      <c r="B50" s="21" t="s">
        <v>7</v>
      </c>
      <c r="C50" s="21"/>
      <c r="D50" s="80">
        <v>0.03</v>
      </c>
    </row>
    <row r="51" spans="2:8" x14ac:dyDescent="0.3">
      <c r="B51" s="21" t="s">
        <v>42</v>
      </c>
      <c r="C51" s="21"/>
      <c r="D51" s="80">
        <v>7.4499999999999997E-2</v>
      </c>
      <c r="H51" s="44"/>
    </row>
    <row r="52" spans="2:8" x14ac:dyDescent="0.3">
      <c r="B52" s="21" t="s">
        <v>43</v>
      </c>
      <c r="C52" s="21"/>
      <c r="D52" s="80">
        <v>2.9499999999999998E-2</v>
      </c>
    </row>
    <row r="53" spans="2:8" x14ac:dyDescent="0.3">
      <c r="B53" s="21" t="s">
        <v>44</v>
      </c>
      <c r="C53" s="21"/>
      <c r="D53" s="80">
        <v>0.03</v>
      </c>
    </row>
    <row r="54" spans="2:8" x14ac:dyDescent="0.3">
      <c r="B54" s="21" t="s">
        <v>45</v>
      </c>
      <c r="C54" s="21"/>
      <c r="D54" s="80">
        <v>0.03</v>
      </c>
    </row>
    <row r="55" spans="2:8" x14ac:dyDescent="0.3">
      <c r="B55" s="21" t="s">
        <v>46</v>
      </c>
      <c r="C55" s="21"/>
      <c r="D55" s="83">
        <f>18442.43/384217.38</f>
        <v>4.7999988964580416E-2</v>
      </c>
    </row>
    <row r="56" spans="2:8" x14ac:dyDescent="0.3">
      <c r="B56" s="21" t="s">
        <v>47</v>
      </c>
      <c r="C56" s="21"/>
      <c r="D56" s="80">
        <v>1.2E-2</v>
      </c>
    </row>
  </sheetData>
  <mergeCells count="5">
    <mergeCell ref="A1:L1"/>
    <mergeCell ref="N1:R1"/>
    <mergeCell ref="A16:L16"/>
    <mergeCell ref="A28:L28"/>
    <mergeCell ref="B41:L4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710B410562E7408FD56977B2428FD4" ma:contentTypeVersion="13" ma:contentTypeDescription="Crie um novo documento." ma:contentTypeScope="" ma:versionID="7f3b8e69fc43edacbf3460c765d836bd">
  <xsd:schema xmlns:xsd="http://www.w3.org/2001/XMLSchema" xmlns:xs="http://www.w3.org/2001/XMLSchema" xmlns:p="http://schemas.microsoft.com/office/2006/metadata/properties" xmlns:ns2="c34becbf-ca68-4256-8aed-b392b0a2c6fb" xmlns:ns3="b8ec653c-db26-4c1a-b2d8-4fc87e95ce94" targetNamespace="http://schemas.microsoft.com/office/2006/metadata/properties" ma:root="true" ma:fieldsID="01daf5f34cc6c9db21582b6e7d6f6b2f" ns2:_="" ns3:_="">
    <xsd:import namespace="c34becbf-ca68-4256-8aed-b392b0a2c6fb"/>
    <xsd:import namespace="b8ec653c-db26-4c1a-b2d8-4fc87e95c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becbf-ca68-4256-8aed-b392b0a2c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ae915f-eeb9-43e2-b9ed-c7927ee112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c653c-db26-4c1a-b2d8-4fc87e95ce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2975235-71b8-4062-9941-f705393c570a}" ma:internalName="TaxCatchAll" ma:showField="CatchAllData" ma:web="b8ec653c-db26-4c1a-b2d8-4fc87e95c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ec653c-db26-4c1a-b2d8-4fc87e95ce94" xsi:nil="true"/>
    <lcf76f155ced4ddcb4097134ff3c332f xmlns="c34becbf-ca68-4256-8aed-b392b0a2c6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1D9957-2145-4EE1-B294-CD52C6510007}"/>
</file>

<file path=customXml/itemProps2.xml><?xml version="1.0" encoding="utf-8"?>
<ds:datastoreItem xmlns:ds="http://schemas.openxmlformats.org/officeDocument/2006/customXml" ds:itemID="{499C32B9-9F21-495B-8478-02839EEEDE38}"/>
</file>

<file path=customXml/itemProps3.xml><?xml version="1.0" encoding="utf-8"?>
<ds:datastoreItem xmlns:ds="http://schemas.openxmlformats.org/officeDocument/2006/customXml" ds:itemID="{A991A6E7-49B1-4A57-8619-CF70925922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OUT - NOV - DEZ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 Um</dc:creator>
  <cp:lastModifiedBy>Suporte Um</cp:lastModifiedBy>
  <dcterms:created xsi:type="dcterms:W3CDTF">2026-02-06T13:51:14Z</dcterms:created>
  <dcterms:modified xsi:type="dcterms:W3CDTF">2026-02-06T13:53:30Z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0x010100DB710B410562E7408FD56977B2428FD4</vt:lpwstr>
  </property>
</Properties>
</file>